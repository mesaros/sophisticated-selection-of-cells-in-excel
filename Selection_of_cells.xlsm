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WB_01_" defaultThemeVersion="124226"/>
  <mc:AlternateContent xmlns:mc="http://schemas.openxmlformats.org/markup-compatibility/2006">
    <mc:Choice Requires="x15">
      <x15ac:absPath xmlns:x15ac="http://schemas.microsoft.com/office/spreadsheetml/2010/11/ac" url="D:\0_win.dat\_ My Projects\Excel Utilities\Selekcia buniek\"/>
    </mc:Choice>
  </mc:AlternateContent>
  <bookViews>
    <workbookView xWindow="480" yWindow="360" windowWidth="17520" windowHeight="13020" firstSheet="1" activeTab="1"/>
  </bookViews>
  <sheets>
    <sheet name="s_data" sheetId="12" state="veryHidden" r:id="rId1"/>
    <sheet name="Selection" sheetId="8" r:id="rId2"/>
    <sheet name="s_sk" sheetId="13" state="veryHidden" r:id="rId3"/>
    <sheet name="s_en" sheetId="14" state="veryHidden" r:id="rId4"/>
    <sheet name="Model" sheetId="15" r:id="rId5"/>
  </sheets>
  <functionGroups builtInGroupCount="18"/>
  <definedNames>
    <definedName name="_C_Cell" localSheetId="3">s_en!$P$13</definedName>
    <definedName name="_C_Cell" localSheetId="2">s_sk!$P$13</definedName>
    <definedName name="_C_Cell">Selection!$P$13</definedName>
    <definedName name="_C_Cell_C" localSheetId="3">s_en!$N$15</definedName>
    <definedName name="_C_Cell_C" localSheetId="2">s_sk!$N$15</definedName>
    <definedName name="_C_Cell_C">Selection!$N$15</definedName>
    <definedName name="_C_Cell_R" localSheetId="3">s_en!$N$17</definedName>
    <definedName name="_C_Cell_R" localSheetId="2">s_sk!$N$17</definedName>
    <definedName name="_C_Cell_R">Selection!$N$17</definedName>
    <definedName name="_C_Sheet" localSheetId="3">s_en!$L$11</definedName>
    <definedName name="_C_Sheet" localSheetId="2">s_sk!$L$11</definedName>
    <definedName name="_C_Sheet">Selection!$L$11</definedName>
    <definedName name="_C_Workbook" localSheetId="3">s_en!$L$9</definedName>
    <definedName name="_C_Workbook" localSheetId="2">s_sk!$L$9</definedName>
    <definedName name="_C_Workbook">Selection!$L$9</definedName>
    <definedName name="_H">Selection!$N$48</definedName>
    <definedName name="_Help">Selection!$G$51</definedName>
    <definedName name="_R_Cell_A" localSheetId="3">s_en!$I$30</definedName>
    <definedName name="_R_Cell_A" localSheetId="2">s_sk!$I$30</definedName>
    <definedName name="_R_Cell_A">Selection!$I$30</definedName>
    <definedName name="_R_Cell_A_C" localSheetId="3">s_en!$K$32</definedName>
    <definedName name="_R_Cell_A_C" localSheetId="2">s_sk!$K$32</definedName>
    <definedName name="_R_Cell_A_C">Selection!$K$32</definedName>
    <definedName name="_R_Cell_A_R" localSheetId="3">s_en!$K$34</definedName>
    <definedName name="_R_Cell_A_R" localSheetId="2">s_sk!$K$34</definedName>
    <definedName name="_R_Cell_A_R">Selection!$K$34</definedName>
    <definedName name="_R_Cell_B" localSheetId="3">s_en!$P$36</definedName>
    <definedName name="_R_Cell_B" localSheetId="2">s_sk!$P$36</definedName>
    <definedName name="_R_Cell_B">Selection!$P$36</definedName>
    <definedName name="_R_Cell_B_C" localSheetId="3">s_en!$N$38</definedName>
    <definedName name="_R_Cell_B_C" localSheetId="2">s_sk!$N$38</definedName>
    <definedName name="_R_Cell_B_C">Selection!$N$38</definedName>
    <definedName name="_R_Cell_B_R" localSheetId="3">s_en!$N$40</definedName>
    <definedName name="_R_Cell_B_R" localSheetId="2">s_sk!$N$40</definedName>
    <definedName name="_R_Cell_B_R">Selection!$N$40</definedName>
    <definedName name="_R_Sheet" localSheetId="3">s_en!$L$28</definedName>
    <definedName name="_R_Sheet" localSheetId="2">s_sk!$L$28</definedName>
    <definedName name="_R_Sheet">Selection!$L$28</definedName>
    <definedName name="_R_Workbook" localSheetId="3">s_en!$L$26</definedName>
    <definedName name="_R_Workbook" localSheetId="2">s_sk!$L$26</definedName>
    <definedName name="_R_Workbook">Selection!$L$26</definedName>
    <definedName name="_Version" localSheetId="3">s_en!$E$51</definedName>
    <definedName name="_Version" localSheetId="2">s_sk!$E$51</definedName>
    <definedName name="_Version">Selection!$E$51</definedName>
    <definedName name="_Www">Selection!$O$51</definedName>
  </definedNames>
  <calcPr calcId="162913"/>
</workbook>
</file>

<file path=xl/calcChain.xml><?xml version="1.0" encoding="utf-8"?>
<calcChain xmlns="http://schemas.openxmlformats.org/spreadsheetml/2006/main">
  <c r="P36" i="8" l="1"/>
  <c r="I30" i="8"/>
  <c r="P13" i="8"/>
  <c r="Q40" i="14" l="1"/>
  <c r="Q38" i="14"/>
  <c r="I34" i="14"/>
  <c r="I32" i="14"/>
  <c r="Q17" i="14"/>
  <c r="Q15" i="14"/>
  <c r="Q40" i="13"/>
  <c r="Q38" i="13"/>
  <c r="I34" i="13"/>
  <c r="I32" i="13"/>
  <c r="Q17" i="13"/>
  <c r="Q15" i="13"/>
  <c r="Q40" i="8" l="1"/>
  <c r="Q38" i="8"/>
  <c r="I34" i="8"/>
  <c r="I32" i="8"/>
  <c r="Q17" i="8"/>
  <c r="Q15" i="8"/>
</calcChain>
</file>

<file path=xl/sharedStrings.xml><?xml version="1.0" encoding="utf-8"?>
<sst xmlns="http://schemas.openxmlformats.org/spreadsheetml/2006/main" count="488" uniqueCount="288">
  <si>
    <t>Zarovnanie</t>
  </si>
  <si>
    <t>Referenčná bunka</t>
  </si>
  <si>
    <t>Výplň</t>
  </si>
  <si>
    <t>Písmo</t>
  </si>
  <si>
    <t>Orámovanie</t>
  </si>
  <si>
    <t>Text</t>
  </si>
  <si>
    <t>Kritéria</t>
  </si>
  <si>
    <t>Typ písma</t>
  </si>
  <si>
    <t>Rez písma</t>
  </si>
  <si>
    <t>Veľkosť</t>
  </si>
  <si>
    <t>Podčiarknutie</t>
  </si>
  <si>
    <t>Farba</t>
  </si>
  <si>
    <t>Efekty</t>
  </si>
  <si>
    <t>Označenie</t>
  </si>
  <si>
    <t>Možnosti</t>
  </si>
  <si>
    <t>Farba pozadia</t>
  </si>
  <si>
    <t>Farba vzorky</t>
  </si>
  <si>
    <t>Štýl vzorky</t>
  </si>
  <si>
    <t>Prechod</t>
  </si>
  <si>
    <t>Štýl čiary</t>
  </si>
  <si>
    <t>Farba čiary</t>
  </si>
  <si>
    <t>EdgeTop</t>
  </si>
  <si>
    <t>EdgeRight</t>
  </si>
  <si>
    <t>EdgeBottom</t>
  </si>
  <si>
    <t>EdgeLeft</t>
  </si>
  <si>
    <t>InsideVertical</t>
  </si>
  <si>
    <t>InsideHorizontal</t>
  </si>
  <si>
    <t>DiagonalUp</t>
  </si>
  <si>
    <t>DiagonalDown</t>
  </si>
  <si>
    <t>Vodorovné</t>
  </si>
  <si>
    <t>Zvislé</t>
  </si>
  <si>
    <t>Odsadenie</t>
  </si>
  <si>
    <t>Orientácia</t>
  </si>
  <si>
    <t>Nastavenie textu</t>
  </si>
  <si>
    <t>Zalomiť text</t>
  </si>
  <si>
    <t>Prispôsobiť bunke</t>
  </si>
  <si>
    <t>Zlúčiť bunky</t>
  </si>
  <si>
    <t>Smer textu</t>
  </si>
  <si>
    <t>Rovnaký text</t>
  </si>
  <si>
    <t>Arial, Times New Roman, ...</t>
  </si>
  <si>
    <t>Normálne, Kurzíva, Tučné, Tučná kurzíva, ...</t>
  </si>
  <si>
    <t>8, 9, 10, ...</t>
  </si>
  <si>
    <t>Jednoduché , Dvojité, Účtovnícke, ...</t>
  </si>
  <si>
    <t>Automaticky, ...</t>
  </si>
  <si>
    <t>Prečiarknuté, Horný index, Dolný index, ...</t>
  </si>
  <si>
    <t>Všeobecné, Vľavo, Centrovať, Vpravo, ...</t>
  </si>
  <si>
    <t>Hore, V strede, Dole, ...</t>
  </si>
  <si>
    <t>1, 2, 3, ...</t>
  </si>
  <si>
    <t>Kontext, Zľava doprava, Sprava doľava</t>
  </si>
  <si>
    <t>Zhoda textu</t>
  </si>
  <si>
    <t>Oblasť</t>
  </si>
  <si>
    <t>Súvislá prehľadávaná oblasť</t>
  </si>
  <si>
    <t>Štart</t>
  </si>
  <si>
    <t>Zadanie</t>
  </si>
  <si>
    <t>Zošit</t>
  </si>
  <si>
    <t>List</t>
  </si>
  <si>
    <t>Bunka</t>
  </si>
  <si>
    <t>Stĺpec</t>
  </si>
  <si>
    <t>Riadok</t>
  </si>
  <si>
    <t>označiť všetko -</t>
  </si>
  <si>
    <t>- zrušiť všetko</t>
  </si>
  <si>
    <t>Ochrana</t>
  </si>
  <si>
    <t>S textom</t>
  </si>
  <si>
    <t>Bez textu</t>
  </si>
  <si>
    <t>Autor:</t>
  </si>
  <si>
    <t>Verzia:</t>
  </si>
  <si>
    <t>Róbert Mesároš</t>
  </si>
  <si>
    <t>www.rmSOFT.sk</t>
  </si>
  <si>
    <t>Rozmer</t>
  </si>
  <si>
    <t>Prehľadávanie zadanej oblasti</t>
  </si>
  <si>
    <t>Zamknutá bunka</t>
  </si>
  <si>
    <t>Skrytý vzorec</t>
  </si>
  <si>
    <t>Vzorová (zdrojová) bunka</t>
  </si>
  <si>
    <t>Žiadny, ...</t>
  </si>
  <si>
    <t>Bez farby, Biela, Čierna, ...</t>
  </si>
  <si>
    <t>Bunky bez textu (a bez vzorca)</t>
  </si>
  <si>
    <t>Bunky s akýmkoľvek textom (včetne vzorca)</t>
  </si>
  <si>
    <t>SELEKCIA</t>
  </si>
  <si>
    <r>
      <rPr>
        <b/>
        <sz val="8"/>
        <color rgb="FFFF0000"/>
        <rFont val="Arial"/>
        <family val="2"/>
        <charset val="238"/>
      </rPr>
      <t>Ctrl+Alt+Right / Left</t>
    </r>
    <r>
      <rPr>
        <sz val="8"/>
        <rFont val="Arial"/>
        <family val="2"/>
        <charset val="238"/>
      </rPr>
      <t xml:space="preserve">  ..   Skok na ďalšiu / predošlú zobrazenú selektovanú sekciu</t>
    </r>
  </si>
  <si>
    <t>Lang</t>
  </si>
  <si>
    <t>-90, ..., -45, ..., 0, 1, 2, ..., 45, ..., 90 stupňov</t>
  </si>
  <si>
    <t>Horný okraj</t>
  </si>
  <si>
    <t>Pravý okraj</t>
  </si>
  <si>
    <t>Spodný okraj</t>
  </si>
  <si>
    <t>Ľavý okraj</t>
  </si>
  <si>
    <t>Vnútorné zvislé</t>
  </si>
  <si>
    <t>Vnútorné vodorovné</t>
  </si>
  <si>
    <t>Diagonálne horné</t>
  </si>
  <si>
    <t>Diagonálne spodné</t>
  </si>
  <si>
    <t>Šírka bunky (stĺpca)</t>
  </si>
  <si>
    <t>Výška bunky (riadka)</t>
  </si>
  <si>
    <t>Author:</t>
  </si>
  <si>
    <t>Robert Mesaros</t>
  </si>
  <si>
    <t>Version:</t>
  </si>
  <si>
    <t>Model</t>
  </si>
  <si>
    <t>SELECTION</t>
  </si>
  <si>
    <t>Criteria</t>
  </si>
  <si>
    <t>Select</t>
  </si>
  <si>
    <t>Options</t>
  </si>
  <si>
    <t>- clear all</t>
  </si>
  <si>
    <t>The same text</t>
  </si>
  <si>
    <t>With text</t>
  </si>
  <si>
    <t>Without text</t>
  </si>
  <si>
    <t>Text match</t>
  </si>
  <si>
    <t>Cells with any text (incl. formula)</t>
  </si>
  <si>
    <t>Cells without text (and no formula)</t>
  </si>
  <si>
    <t>The reference cell</t>
  </si>
  <si>
    <t>Setting</t>
  </si>
  <si>
    <t>Sample (source) cell</t>
  </si>
  <si>
    <t>Workbook</t>
  </si>
  <si>
    <t>Worksheet</t>
  </si>
  <si>
    <t>Cell</t>
  </si>
  <si>
    <t>Column</t>
  </si>
  <si>
    <t>Row</t>
  </si>
  <si>
    <r>
      <t xml:space="preserve">Definovanie bunky z konkrétneho </t>
    </r>
    <r>
      <rPr>
        <i/>
        <sz val="7"/>
        <rFont val="Arial"/>
        <family val="2"/>
        <charset val="238"/>
      </rPr>
      <t>(aktívneho)</t>
    </r>
    <r>
      <rPr>
        <sz val="7"/>
        <rFont val="Arial"/>
        <family val="2"/>
        <charset val="238"/>
      </rPr>
      <t xml:space="preserve"> listu  ..  </t>
    </r>
    <r>
      <rPr>
        <b/>
        <sz val="8"/>
        <color rgb="FFFF0000"/>
        <rFont val="Arial"/>
        <family val="2"/>
        <charset val="238"/>
      </rPr>
      <t>Ctrl + E</t>
    </r>
  </si>
  <si>
    <r>
      <t xml:space="preserve">Definovanie oblasti z konkrétneho </t>
    </r>
    <r>
      <rPr>
        <i/>
        <sz val="7"/>
        <rFont val="Arial"/>
        <family val="2"/>
        <charset val="238"/>
      </rPr>
      <t>(aktívneho)</t>
    </r>
    <r>
      <rPr>
        <sz val="7"/>
        <rFont val="Arial"/>
        <family val="2"/>
        <charset val="238"/>
      </rPr>
      <t xml:space="preserve"> listu  ..  </t>
    </r>
    <r>
      <rPr>
        <b/>
        <sz val="8"/>
        <color rgb="FFFF0000"/>
        <rFont val="Arial"/>
        <family val="2"/>
        <charset val="238"/>
      </rPr>
      <t>Ctrl + R</t>
    </r>
  </si>
  <si>
    <r>
      <t xml:space="preserve">Defining cells from a specific </t>
    </r>
    <r>
      <rPr>
        <i/>
        <sz val="7"/>
        <rFont val="Arial"/>
        <family val="2"/>
        <charset val="238"/>
      </rPr>
      <t>(active)</t>
    </r>
    <r>
      <rPr>
        <sz val="7"/>
        <rFont val="Arial"/>
        <family val="2"/>
        <charset val="238"/>
      </rPr>
      <t xml:space="preserve"> worksheet  ..  </t>
    </r>
    <r>
      <rPr>
        <b/>
        <sz val="8"/>
        <color rgb="FFFF0000"/>
        <rFont val="Arial"/>
        <family val="2"/>
        <charset val="238"/>
      </rPr>
      <t>Ctrl + E</t>
    </r>
  </si>
  <si>
    <t>Area</t>
  </si>
  <si>
    <t>Continuous searched area</t>
  </si>
  <si>
    <r>
      <t xml:space="preserve">Defining a specific area of </t>
    </r>
    <r>
      <rPr>
        <i/>
        <sz val="7"/>
        <rFont val="Arial"/>
        <family val="2"/>
        <charset val="238"/>
      </rPr>
      <t>(active)</t>
    </r>
    <r>
      <rPr>
        <sz val="7"/>
        <rFont val="Arial"/>
        <family val="2"/>
        <charset val="238"/>
      </rPr>
      <t xml:space="preserve"> worksheet  ..  </t>
    </r>
    <r>
      <rPr>
        <b/>
        <sz val="8"/>
        <color rgb="FFFF0000"/>
        <rFont val="Arial"/>
        <family val="2"/>
        <charset val="238"/>
      </rPr>
      <t>Ctrl + R</t>
    </r>
  </si>
  <si>
    <t>Start</t>
  </si>
  <si>
    <t>Browsing the area</t>
  </si>
  <si>
    <r>
      <rPr>
        <b/>
        <sz val="8"/>
        <color rgb="FFFF0000"/>
        <rFont val="Arial"/>
        <family val="2"/>
        <charset val="238"/>
      </rPr>
      <t>Ctrl+Alt+Right / Left</t>
    </r>
    <r>
      <rPr>
        <sz val="8"/>
        <rFont val="Arial"/>
        <family val="2"/>
        <charset val="238"/>
      </rPr>
      <t xml:space="preserve">  ..   Skip to the next / previous selected section</t>
    </r>
  </si>
  <si>
    <t>Font</t>
  </si>
  <si>
    <t>Alignment</t>
  </si>
  <si>
    <t>Fill</t>
  </si>
  <si>
    <t>Border</t>
  </si>
  <si>
    <t>Dimension</t>
  </si>
  <si>
    <t>Protection</t>
  </si>
  <si>
    <t>Font type</t>
  </si>
  <si>
    <t>Font style</t>
  </si>
  <si>
    <t>Size</t>
  </si>
  <si>
    <t>Underline</t>
  </si>
  <si>
    <t>Color</t>
  </si>
  <si>
    <t>Effects</t>
  </si>
  <si>
    <t>Horizontal</t>
  </si>
  <si>
    <t>Vertical</t>
  </si>
  <si>
    <t>Indentation</t>
  </si>
  <si>
    <t>Orientation</t>
  </si>
  <si>
    <t>Text control</t>
  </si>
  <si>
    <t>Wrap text</t>
  </si>
  <si>
    <t>Shrink to fit</t>
  </si>
  <si>
    <t>Merge cells</t>
  </si>
  <si>
    <t>Text direction</t>
  </si>
  <si>
    <t>Background Color</t>
  </si>
  <si>
    <t>Pattern Color</t>
  </si>
  <si>
    <t>Pattern Style</t>
  </si>
  <si>
    <t>Gradient</t>
  </si>
  <si>
    <t>Line style</t>
  </si>
  <si>
    <t>Line color</t>
  </si>
  <si>
    <t>Cell width (column)</t>
  </si>
  <si>
    <t>Cell height (row)</t>
  </si>
  <si>
    <t>Locked cell</t>
  </si>
  <si>
    <t>Hidden formula</t>
  </si>
  <si>
    <t>Regular, Italic, Bold, Bold Italic, ...</t>
  </si>
  <si>
    <t>Single, Double, Single Accounting, ...</t>
  </si>
  <si>
    <t>Automatic, ...</t>
  </si>
  <si>
    <t>Strikethrough, Superscript, Subscript, ...</t>
  </si>
  <si>
    <t>General, Left (indent), Center, Right (indent), ...</t>
  </si>
  <si>
    <t>Top, Center, Bottom, ...</t>
  </si>
  <si>
    <t>-90, ..., -45, ..., 0, 1, 2, ..., 45, ..., 90 Degrees</t>
  </si>
  <si>
    <t>Context, Left-to-Right, Right-to-Left</t>
  </si>
  <si>
    <t>No color, White, Black, ...</t>
  </si>
  <si>
    <t>None, ...</t>
  </si>
  <si>
    <t>V</t>
  </si>
  <si>
    <r>
      <rPr>
        <b/>
        <i/>
        <sz val="9"/>
        <color theme="5" tint="-0.499984740745262"/>
        <rFont val="Arial"/>
        <family val="2"/>
        <charset val="238"/>
      </rPr>
      <t>Bunka A</t>
    </r>
    <r>
      <rPr>
        <b/>
        <i/>
        <sz val="9"/>
        <color theme="2" tint="-0.749992370372631"/>
        <rFont val="Arial"/>
        <family val="2"/>
        <charset val="238"/>
      </rPr>
      <t xml:space="preserve"> - ľavá horná</t>
    </r>
  </si>
  <si>
    <r>
      <rPr>
        <b/>
        <i/>
        <sz val="9"/>
        <color theme="2" tint="-0.749992370372631"/>
        <rFont val="Arial"/>
        <family val="2"/>
        <charset val="238"/>
      </rPr>
      <t xml:space="preserve">pravá dolná - </t>
    </r>
    <r>
      <rPr>
        <b/>
        <i/>
        <sz val="9"/>
        <color theme="5" tint="-0.499984740745262"/>
        <rFont val="Arial"/>
        <family val="2"/>
        <charset val="238"/>
      </rPr>
      <t>Bunka B</t>
    </r>
  </si>
  <si>
    <t>mark all -</t>
  </si>
  <si>
    <r>
      <rPr>
        <b/>
        <i/>
        <sz val="9"/>
        <color theme="5" tint="-0.499984740745262"/>
        <rFont val="Arial"/>
        <family val="2"/>
        <charset val="238"/>
      </rPr>
      <t>Cell A</t>
    </r>
    <r>
      <rPr>
        <b/>
        <i/>
        <sz val="9"/>
        <color theme="2" tint="-0.749992370372631"/>
        <rFont val="Arial"/>
        <family val="2"/>
        <charset val="238"/>
      </rPr>
      <t xml:space="preserve"> - Left Top</t>
    </r>
  </si>
  <si>
    <r>
      <rPr>
        <b/>
        <i/>
        <sz val="9"/>
        <color theme="2" tint="-0.749992370372631"/>
        <rFont val="Arial"/>
        <family val="2"/>
        <charset val="238"/>
      </rPr>
      <t xml:space="preserve">Right Bottom - </t>
    </r>
    <r>
      <rPr>
        <b/>
        <i/>
        <sz val="9"/>
        <color theme="5" tint="-0.499984740745262"/>
        <rFont val="Arial"/>
        <family val="2"/>
        <charset val="238"/>
      </rPr>
      <t>Cell B</t>
    </r>
  </si>
  <si>
    <r>
      <t>Code Table</t>
    </r>
    <r>
      <rPr>
        <b/>
        <sz val="14"/>
        <color theme="9" tint="-0.249977111117893"/>
        <rFont val="Arial CE"/>
        <charset val="238"/>
      </rPr>
      <t xml:space="preserve">      </t>
    </r>
    <r>
      <rPr>
        <b/>
        <sz val="11"/>
        <color theme="9" tint="-0.249977111117893"/>
        <rFont val="Arial CE"/>
        <charset val="238"/>
      </rPr>
      <t>- SK and CZ alphabet</t>
    </r>
  </si>
  <si>
    <t>Char</t>
  </si>
  <si>
    <t>A</t>
  </si>
  <si>
    <t>Á</t>
  </si>
  <si>
    <t>Ä</t>
  </si>
  <si>
    <t>B</t>
  </si>
  <si>
    <t>C</t>
  </si>
  <si>
    <t>Č</t>
  </si>
  <si>
    <t>D</t>
  </si>
  <si>
    <t>Ď</t>
  </si>
  <si>
    <t>Dz</t>
  </si>
  <si>
    <t>Dž</t>
  </si>
  <si>
    <t>E</t>
  </si>
  <si>
    <t>É</t>
  </si>
  <si>
    <t>ASCII</t>
  </si>
  <si>
    <t>Latin2</t>
  </si>
  <si>
    <t>Kamenik</t>
  </si>
  <si>
    <t>WinLatin2</t>
  </si>
  <si>
    <t>ISOLatin2</t>
  </si>
  <si>
    <t>MacIntosh</t>
  </si>
  <si>
    <t>a</t>
  </si>
  <si>
    <t>á</t>
  </si>
  <si>
    <t>ä</t>
  </si>
  <si>
    <t>b</t>
  </si>
  <si>
    <t>c</t>
  </si>
  <si>
    <t>č</t>
  </si>
  <si>
    <t>d</t>
  </si>
  <si>
    <t>ď</t>
  </si>
  <si>
    <t>dz</t>
  </si>
  <si>
    <t>dž</t>
  </si>
  <si>
    <t>e</t>
  </si>
  <si>
    <t>Ě</t>
  </si>
  <si>
    <t>F</t>
  </si>
  <si>
    <t>G</t>
  </si>
  <si>
    <t>H</t>
  </si>
  <si>
    <t>Ch</t>
  </si>
  <si>
    <t>I</t>
  </si>
  <si>
    <t>Í</t>
  </si>
  <si>
    <t>J</t>
  </si>
  <si>
    <t>K</t>
  </si>
  <si>
    <t>L</t>
  </si>
  <si>
    <t>Ĺ</t>
  </si>
  <si>
    <t>Ľ</t>
  </si>
  <si>
    <t>M</t>
  </si>
  <si>
    <t>N</t>
  </si>
  <si>
    <t>Ň</t>
  </si>
  <si>
    <t>O</t>
  </si>
  <si>
    <t>Ó</t>
  </si>
  <si>
    <t>é</t>
  </si>
  <si>
    <t>ě</t>
  </si>
  <si>
    <t>f</t>
  </si>
  <si>
    <t>g</t>
  </si>
  <si>
    <t>h</t>
  </si>
  <si>
    <t>ch</t>
  </si>
  <si>
    <t>i</t>
  </si>
  <si>
    <t>í</t>
  </si>
  <si>
    <t>j</t>
  </si>
  <si>
    <t>k</t>
  </si>
  <si>
    <t>l</t>
  </si>
  <si>
    <t>ĺ</t>
  </si>
  <si>
    <t>ľ</t>
  </si>
  <si>
    <t>m</t>
  </si>
  <si>
    <t>n</t>
  </si>
  <si>
    <t>ň</t>
  </si>
  <si>
    <t>o</t>
  </si>
  <si>
    <t>Ô</t>
  </si>
  <si>
    <t>Ö</t>
  </si>
  <si>
    <t>Ő</t>
  </si>
  <si>
    <t>P</t>
  </si>
  <si>
    <t>Q</t>
  </si>
  <si>
    <t>R</t>
  </si>
  <si>
    <t>Ŕ</t>
  </si>
  <si>
    <t>Ř</t>
  </si>
  <si>
    <t>S</t>
  </si>
  <si>
    <t>Š</t>
  </si>
  <si>
    <t>T</t>
  </si>
  <si>
    <t>Ť</t>
  </si>
  <si>
    <t>U</t>
  </si>
  <si>
    <t>Ú</t>
  </si>
  <si>
    <t>Ů</t>
  </si>
  <si>
    <t>Ü</t>
  </si>
  <si>
    <t>Ű</t>
  </si>
  <si>
    <t>ó</t>
  </si>
  <si>
    <t>ô</t>
  </si>
  <si>
    <t>ö</t>
  </si>
  <si>
    <t>ő</t>
  </si>
  <si>
    <t>p</t>
  </si>
  <si>
    <t>q</t>
  </si>
  <si>
    <t>r</t>
  </si>
  <si>
    <t>ŕ</t>
  </si>
  <si>
    <t>ř</t>
  </si>
  <si>
    <t>s</t>
  </si>
  <si>
    <t>š</t>
  </si>
  <si>
    <t>t</t>
  </si>
  <si>
    <t>ť</t>
  </si>
  <si>
    <t>u</t>
  </si>
  <si>
    <t>ú</t>
  </si>
  <si>
    <t>ů</t>
  </si>
  <si>
    <t>ü</t>
  </si>
  <si>
    <t>W</t>
  </si>
  <si>
    <t>X</t>
  </si>
  <si>
    <t>Y</t>
  </si>
  <si>
    <t>Ý</t>
  </si>
  <si>
    <t>Z</t>
  </si>
  <si>
    <t>Ž</t>
  </si>
  <si>
    <t>ű</t>
  </si>
  <si>
    <t>v</t>
  </si>
  <si>
    <t>w</t>
  </si>
  <si>
    <t>x</t>
  </si>
  <si>
    <t>y</t>
  </si>
  <si>
    <t>ý</t>
  </si>
  <si>
    <t>z</t>
  </si>
  <si>
    <t>ž</t>
  </si>
  <si>
    <t>?</t>
  </si>
  <si>
    <t>Selection_of_cells.xlsm</t>
  </si>
  <si>
    <t>Help</t>
  </si>
  <si>
    <t>1.1</t>
  </si>
  <si>
    <t>Build: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</si>
</sst>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2" x14ac:knownFonts="1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7"/>
      <name val="Arial"/>
      <family val="2"/>
      <charset val="238"/>
    </font>
    <font>
      <b/>
      <sz val="9"/>
      <name val="Arial"/>
      <family val="2"/>
      <charset val="238"/>
    </font>
    <font>
      <b/>
      <sz val="8"/>
      <name val="Arial"/>
      <family val="2"/>
      <charset val="238"/>
    </font>
    <font>
      <b/>
      <sz val="8"/>
      <color rgb="FFFF0000"/>
      <name val="Arial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i/>
      <sz val="9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theme="8" tint="-0.499984740745262"/>
      <name val="Arial"/>
      <family val="2"/>
      <charset val="238"/>
    </font>
    <font>
      <i/>
      <sz val="9"/>
      <color theme="8" tint="-0.499984740745262"/>
      <name val="Arial"/>
      <family val="2"/>
      <charset val="238"/>
    </font>
    <font>
      <b/>
      <sz val="10"/>
      <color theme="8" tint="-0.499984740745262"/>
      <name val="Arial"/>
      <family val="2"/>
      <charset val="238"/>
    </font>
    <font>
      <b/>
      <sz val="10"/>
      <color theme="6" tint="-0.499984740745262"/>
      <name val="Arial"/>
      <family val="2"/>
      <charset val="238"/>
    </font>
    <font>
      <sz val="9"/>
      <color theme="6" tint="-0.499984740745262"/>
      <name val="Arial"/>
      <family val="2"/>
      <charset val="238"/>
    </font>
    <font>
      <i/>
      <sz val="9"/>
      <color theme="6" tint="-0.499984740745262"/>
      <name val="Arial"/>
      <family val="2"/>
      <charset val="238"/>
    </font>
    <font>
      <b/>
      <sz val="10"/>
      <color theme="5" tint="-0.499984740745262"/>
      <name val="Arial"/>
      <family val="2"/>
      <charset val="238"/>
    </font>
    <font>
      <sz val="9"/>
      <color theme="5" tint="-0.499984740745262"/>
      <name val="Arial"/>
      <family val="2"/>
      <charset val="238"/>
    </font>
    <font>
      <i/>
      <sz val="9"/>
      <color theme="5" tint="-0.499984740745262"/>
      <name val="Arial"/>
      <family val="2"/>
      <charset val="238"/>
    </font>
    <font>
      <b/>
      <sz val="10"/>
      <color theme="4" tint="-0.499984740745262"/>
      <name val="Arial"/>
      <family val="2"/>
      <charset val="238"/>
    </font>
    <font>
      <sz val="9"/>
      <color theme="4" tint="-0.499984740745262"/>
      <name val="Arial"/>
      <family val="2"/>
      <charset val="238"/>
    </font>
    <font>
      <i/>
      <sz val="9"/>
      <color theme="4" tint="-0.499984740745262"/>
      <name val="Arial"/>
      <family val="2"/>
      <charset val="238"/>
    </font>
    <font>
      <b/>
      <sz val="10"/>
      <color theme="9" tint="-0.499984740745262"/>
      <name val="Arial"/>
      <family val="2"/>
      <charset val="238"/>
    </font>
    <font>
      <sz val="9"/>
      <color theme="9" tint="-0.499984740745262"/>
      <name val="Arial"/>
      <family val="2"/>
      <charset val="238"/>
    </font>
    <font>
      <i/>
      <sz val="9"/>
      <color theme="9" tint="-0.499984740745262"/>
      <name val="Arial"/>
      <family val="2"/>
      <charset val="238"/>
    </font>
    <font>
      <b/>
      <sz val="10"/>
      <color theme="7" tint="-0.499984740745262"/>
      <name val="Arial"/>
      <family val="2"/>
      <charset val="238"/>
    </font>
    <font>
      <sz val="9"/>
      <color theme="7" tint="-0.499984740745262"/>
      <name val="Arial"/>
      <family val="2"/>
      <charset val="238"/>
    </font>
    <font>
      <i/>
      <sz val="9"/>
      <color theme="7" tint="-0.499984740745262"/>
      <name val="Arial"/>
      <family val="2"/>
      <charset val="238"/>
    </font>
    <font>
      <b/>
      <sz val="10"/>
      <color rgb="FFFFC000"/>
      <name val="Arial"/>
      <family val="2"/>
      <charset val="238"/>
    </font>
    <font>
      <b/>
      <i/>
      <sz val="9"/>
      <color theme="2" tint="-0.749992370372631"/>
      <name val="Arial"/>
      <family val="2"/>
      <charset val="238"/>
    </font>
    <font>
      <sz val="8"/>
      <color theme="2" tint="-0.749992370372631"/>
      <name val="Arial"/>
      <family val="2"/>
      <charset val="238"/>
    </font>
    <font>
      <sz val="9"/>
      <color theme="1" tint="0.34998626667073579"/>
      <name val="Arial"/>
      <family val="2"/>
      <charset val="238"/>
    </font>
    <font>
      <b/>
      <sz val="9"/>
      <color theme="1" tint="0.34998626667073579"/>
      <name val="Arial"/>
      <family val="2"/>
      <charset val="238"/>
    </font>
    <font>
      <b/>
      <i/>
      <sz val="9"/>
      <color theme="2" tint="-0.89999084444715716"/>
      <name val="Arial"/>
      <family val="2"/>
      <charset val="238"/>
    </font>
    <font>
      <b/>
      <u/>
      <sz val="9"/>
      <color theme="4" tint="-0.499984740745262"/>
      <name val="Arial"/>
      <family val="2"/>
      <charset val="238"/>
    </font>
    <font>
      <sz val="8"/>
      <color theme="0"/>
      <name val="Arial"/>
      <family val="2"/>
      <charset val="238"/>
    </font>
    <font>
      <b/>
      <sz val="8"/>
      <color rgb="FF0070C0"/>
      <name val="Arial"/>
      <family val="2"/>
      <charset val="238"/>
    </font>
    <font>
      <b/>
      <u/>
      <sz val="8"/>
      <color rgb="FF008000"/>
      <name val="Arial"/>
      <family val="2"/>
      <charset val="238"/>
    </font>
    <font>
      <i/>
      <sz val="8"/>
      <name val="Arial"/>
      <family val="2"/>
      <charset val="238"/>
    </font>
    <font>
      <b/>
      <sz val="10"/>
      <color theme="2" tint="-0.749992370372631"/>
      <name val="Arial"/>
      <family val="2"/>
      <charset val="238"/>
    </font>
    <font>
      <sz val="9"/>
      <color theme="2" tint="-0.749992370372631"/>
      <name val="Arial"/>
      <family val="2"/>
      <charset val="238"/>
    </font>
    <font>
      <i/>
      <sz val="9"/>
      <color theme="2" tint="-0.749992370372631"/>
      <name val="Arial"/>
      <family val="2"/>
      <charset val="238"/>
    </font>
    <font>
      <i/>
      <sz val="9"/>
      <color rgb="FFFF0000"/>
      <name val="Arial"/>
      <family val="2"/>
      <charset val="238"/>
    </font>
    <font>
      <i/>
      <sz val="7"/>
      <name val="Arial"/>
      <family val="2"/>
      <charset val="238"/>
    </font>
    <font>
      <sz val="10"/>
      <color theme="2" tint="-0.749992370372631"/>
      <name val="Arial"/>
      <family val="2"/>
      <charset val="238"/>
    </font>
    <font>
      <sz val="9"/>
      <color theme="2" tint="-0.249977111117893"/>
      <name val="Arial"/>
      <family val="2"/>
      <charset val="238"/>
    </font>
    <font>
      <sz val="9"/>
      <color theme="9" tint="0.39997558519241921"/>
      <name val="Arial"/>
      <family val="2"/>
      <charset val="238"/>
    </font>
    <font>
      <sz val="8"/>
      <name val="Arial"/>
      <family val="2"/>
      <charset val="238"/>
    </font>
    <font>
      <b/>
      <i/>
      <sz val="9"/>
      <color theme="5" tint="-0.499984740745262"/>
      <name val="Arial"/>
      <family val="2"/>
      <charset val="238"/>
    </font>
    <font>
      <b/>
      <sz val="14"/>
      <color indexed="10"/>
      <name val="Arial CE"/>
      <charset val="238"/>
    </font>
    <font>
      <b/>
      <sz val="14"/>
      <color theme="9" tint="-0.249977111117893"/>
      <name val="Arial CE"/>
      <charset val="238"/>
    </font>
    <font>
      <b/>
      <sz val="11"/>
      <color theme="9" tint="-0.249977111117893"/>
      <name val="Arial CE"/>
      <charset val="238"/>
    </font>
    <font>
      <b/>
      <sz val="14"/>
      <name val="Arial CE"/>
      <family val="2"/>
      <charset val="238"/>
    </font>
    <font>
      <b/>
      <sz val="9"/>
      <name val="Arial CE"/>
      <family val="2"/>
      <charset val="238"/>
    </font>
    <font>
      <b/>
      <i/>
      <sz val="9"/>
      <name val="Arial CE"/>
      <charset val="238"/>
    </font>
    <font>
      <b/>
      <sz val="10"/>
      <name val="Arial CE"/>
      <charset val="238"/>
    </font>
    <font>
      <b/>
      <sz val="8"/>
      <color indexed="18"/>
      <name val="Arial CE"/>
      <charset val="238"/>
    </font>
    <font>
      <sz val="8"/>
      <name val="Arial CE"/>
      <family val="2"/>
      <charset val="238"/>
    </font>
    <font>
      <sz val="9"/>
      <name val="Arial CE"/>
      <family val="2"/>
      <charset val="238"/>
    </font>
  </fonts>
  <fills count="2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</fills>
  <borders count="117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auto="1"/>
      </bottom>
      <diagonal/>
    </border>
    <border>
      <left style="double">
        <color auto="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double">
        <color auto="1"/>
      </left>
      <right style="thin">
        <color theme="4" tint="0.39994506668294322"/>
      </right>
      <top style="thin">
        <color theme="4" tint="0.39994506668294322"/>
      </top>
      <bottom style="thin">
        <color auto="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auto="1"/>
      </bottom>
      <diagonal/>
    </border>
    <border>
      <left style="double">
        <color auto="1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double">
        <color auto="1"/>
      </left>
      <right style="thin">
        <color theme="6" tint="0.39994506668294322"/>
      </right>
      <top style="thin">
        <color theme="6" tint="0.39994506668294322"/>
      </top>
      <bottom style="thin">
        <color auto="1"/>
      </bottom>
      <diagonal/>
    </border>
    <border>
      <left style="double">
        <color auto="1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double">
        <color auto="1"/>
      </left>
      <right style="thin">
        <color theme="9" tint="0.39994506668294322"/>
      </right>
      <top style="thin">
        <color theme="9" tint="0.39994506668294322"/>
      </top>
      <bottom style="thin">
        <color auto="1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auto="1"/>
      </bottom>
      <diagonal/>
    </border>
    <border>
      <left style="double">
        <color auto="1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double">
        <color auto="1"/>
      </left>
      <right style="thin">
        <color theme="8" tint="0.39994506668294322"/>
      </right>
      <top style="thin">
        <color theme="8" tint="0.39994506668294322"/>
      </top>
      <bottom style="thin">
        <color auto="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auto="1"/>
      </bottom>
      <diagonal/>
    </border>
    <border>
      <left style="double">
        <color auto="1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double">
        <color auto="1"/>
      </left>
      <right style="thin">
        <color theme="7" tint="0.39994506668294322"/>
      </right>
      <top style="thin">
        <color theme="7" tint="0.39994506668294322"/>
      </top>
      <bottom style="thin">
        <color auto="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auto="1"/>
      </bottom>
      <diagonal/>
    </border>
    <border>
      <left style="double">
        <color auto="1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4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6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9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8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7" tint="0.39994506668294322"/>
      </bottom>
      <diagonal/>
    </border>
    <border>
      <left style="double">
        <color auto="1"/>
      </left>
      <right/>
      <top style="thin">
        <color auto="1"/>
      </top>
      <bottom style="thin">
        <color theme="5" tint="0.39994506668294322"/>
      </bottom>
      <diagonal/>
    </border>
    <border>
      <left/>
      <right/>
      <top style="thin">
        <color auto="1"/>
      </top>
      <bottom style="thin">
        <color theme="4" tint="0.39994506668294322"/>
      </bottom>
      <diagonal/>
    </border>
    <border>
      <left/>
      <right/>
      <top style="thin">
        <color auto="1"/>
      </top>
      <bottom style="thin">
        <color theme="6" tint="0.39994506668294322"/>
      </bottom>
      <diagonal/>
    </border>
    <border>
      <left/>
      <right/>
      <top style="thin">
        <color auto="1"/>
      </top>
      <bottom style="thin">
        <color theme="9" tint="0.39994506668294322"/>
      </bottom>
      <diagonal/>
    </border>
    <border>
      <left/>
      <right/>
      <top style="thin">
        <color auto="1"/>
      </top>
      <bottom style="thin">
        <color theme="8" tint="0.39994506668294322"/>
      </bottom>
      <diagonal/>
    </border>
    <border>
      <left/>
      <right/>
      <top style="thin">
        <color auto="1"/>
      </top>
      <bottom style="thin">
        <color theme="7" tint="0.39994506668294322"/>
      </bottom>
      <diagonal/>
    </border>
    <border>
      <left/>
      <right/>
      <top style="thin">
        <color auto="1"/>
      </top>
      <bottom style="thin">
        <color theme="5" tint="0.399945066682943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theme="4" tint="0.39994506668294322"/>
      </left>
      <right style="thin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1454817346722"/>
      </right>
      <top style="thin">
        <color theme="4" tint="0.39994506668294322"/>
      </top>
      <bottom style="thin">
        <color auto="1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auto="1"/>
      </bottom>
      <diagonal/>
    </border>
    <border>
      <left style="thin">
        <color theme="9" tint="0.39994506668294322"/>
      </left>
      <right style="thin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1454817346722"/>
      </right>
      <top style="thin">
        <color theme="9" tint="0.39994506668294322"/>
      </top>
      <bottom style="thin">
        <color auto="1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auto="1"/>
      </bottom>
      <diagonal/>
    </border>
    <border>
      <left style="thin">
        <color theme="7" tint="0.39994506668294322"/>
      </left>
      <right style="thin">
        <color theme="7" tint="0.399914548173467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1454817346722"/>
      </right>
      <top style="thin">
        <color theme="7" tint="0.39994506668294322"/>
      </top>
      <bottom style="thin">
        <color auto="1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double">
        <color auto="1"/>
      </left>
      <right style="thin">
        <color theme="2" tint="-0.24994659260841701"/>
      </right>
      <top style="thin">
        <color auto="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auto="1"/>
      </bottom>
      <diagonal/>
    </border>
    <border>
      <left style="double">
        <color auto="1"/>
      </left>
      <right style="thin">
        <color theme="5" tint="0.39994506668294322"/>
      </right>
      <top style="thin">
        <color theme="5" tint="0.39994506668294322"/>
      </top>
      <bottom style="double">
        <color auto="1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double">
        <color auto="1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double">
        <color auto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auto="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auto="1"/>
      </bottom>
      <diagonal/>
    </border>
    <border>
      <left style="double">
        <color auto="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double">
        <color auto="1"/>
      </left>
      <right/>
      <top style="thin">
        <color theme="2" tint="-0.24994659260841701"/>
      </top>
      <bottom style="thin">
        <color auto="1"/>
      </bottom>
      <diagonal/>
    </border>
    <border>
      <left/>
      <right style="thin">
        <color theme="4" tint="0.39991454817346722"/>
      </right>
      <top style="thin">
        <color auto="1"/>
      </top>
      <bottom style="thin">
        <color theme="4" tint="0.39994506668294322"/>
      </bottom>
      <diagonal/>
    </border>
    <border>
      <left/>
      <right style="thin">
        <color theme="6" tint="0.39991454817346722"/>
      </right>
      <top style="thin">
        <color auto="1"/>
      </top>
      <bottom style="thin">
        <color theme="6" tint="0.39994506668294322"/>
      </bottom>
      <diagonal/>
    </border>
    <border>
      <left/>
      <right style="thin">
        <color theme="9" tint="0.39991454817346722"/>
      </right>
      <top style="thin">
        <color auto="1"/>
      </top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auto="1"/>
      </top>
      <bottom style="thin">
        <color theme="8" tint="0.39994506668294322"/>
      </bottom>
      <diagonal/>
    </border>
    <border>
      <left/>
      <right style="thin">
        <color theme="7" tint="0.39991454817346722"/>
      </right>
      <top style="thin">
        <color auto="1"/>
      </top>
      <bottom style="thin">
        <color theme="7" tint="0.39994506668294322"/>
      </bottom>
      <diagonal/>
    </border>
    <border>
      <left/>
      <right style="thin">
        <color theme="5" tint="0.39991454817346722"/>
      </right>
      <top style="thin">
        <color auto="1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auto="1"/>
      </bottom>
      <diagonal/>
    </border>
    <border>
      <left style="thin">
        <color theme="6" tint="0.39994506668294322"/>
      </left>
      <right style="thin">
        <color theme="6" tint="0.39994506668294322"/>
      </right>
      <top/>
      <bottom/>
      <diagonal/>
    </border>
    <border>
      <left style="thin">
        <color theme="6" tint="0.39994506668294322"/>
      </left>
      <right style="thin">
        <color theme="6" tint="0.39994506668294322"/>
      </right>
      <top/>
      <bottom style="thin">
        <color auto="1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auto="1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auto="1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/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auto="1"/>
      </bottom>
      <diagonal/>
    </border>
    <border>
      <left style="thin">
        <color theme="5" tint="0.39994506668294322"/>
      </left>
      <right style="thin">
        <color theme="5" tint="0.39994506668294322"/>
      </right>
      <top/>
      <bottom/>
      <diagonal/>
    </border>
    <border>
      <left style="thin">
        <color theme="5" tint="0.39994506668294322"/>
      </left>
      <right style="thin">
        <color theme="5" tint="0.39994506668294322"/>
      </right>
      <top/>
      <bottom style="double">
        <color auto="1"/>
      </bottom>
      <diagonal/>
    </border>
    <border>
      <left style="thin">
        <color theme="6" tint="0.39994506668294322"/>
      </left>
      <right/>
      <top/>
      <bottom/>
      <diagonal/>
    </border>
    <border>
      <left/>
      <right style="thin">
        <color theme="6" tint="0.39994506668294322"/>
      </right>
      <top/>
      <bottom/>
      <diagonal/>
    </border>
    <border>
      <left style="thin">
        <color theme="8" tint="0.39994506668294322"/>
      </left>
      <right/>
      <top/>
      <bottom/>
      <diagonal/>
    </border>
    <border>
      <left/>
      <right style="thin">
        <color theme="8" tint="0.39994506668294322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</borders>
  <cellStyleXfs count="5">
    <xf numFmtId="0" fontId="0" fillId="0" borderId="0"/>
    <xf numFmtId="0" fontId="6" fillId="0" borderId="0"/>
    <xf numFmtId="0" fontId="8" fillId="0" borderId="0" applyNumberFormat="0" applyFill="0" applyBorder="0" applyAlignment="0" applyProtection="0"/>
    <xf numFmtId="0" fontId="6" fillId="0" borderId="0"/>
    <xf numFmtId="0" fontId="1" fillId="0" borderId="0"/>
  </cellStyleXfs>
  <cellXfs count="254">
    <xf numFmtId="0" fontId="0" fillId="0" borderId="0" xfId="0"/>
    <xf numFmtId="0" fontId="0" fillId="0" borderId="0" xfId="0" applyFill="1"/>
    <xf numFmtId="0" fontId="7" fillId="5" borderId="4" xfId="0" applyFont="1" applyFill="1" applyBorder="1" applyAlignment="1">
      <alignment horizontal="left" vertical="center" indent="1"/>
    </xf>
    <xf numFmtId="0" fontId="6" fillId="5" borderId="1" xfId="0" applyFont="1" applyFill="1" applyBorder="1" applyAlignment="1">
      <alignment horizontal="left" vertical="center" indent="1"/>
    </xf>
    <xf numFmtId="0" fontId="33" fillId="5" borderId="1" xfId="0" applyFont="1" applyFill="1" applyBorder="1" applyAlignment="1">
      <alignment horizontal="right" vertical="center"/>
    </xf>
    <xf numFmtId="0" fontId="9" fillId="17" borderId="11" xfId="0" applyFont="1" applyFill="1" applyBorder="1" applyAlignment="1">
      <alignment vertical="center"/>
    </xf>
    <xf numFmtId="0" fontId="9" fillId="17" borderId="0" xfId="0" applyFont="1" applyFill="1" applyBorder="1" applyAlignment="1">
      <alignment vertical="center"/>
    </xf>
    <xf numFmtId="0" fontId="9" fillId="17" borderId="12" xfId="0" applyFont="1" applyFill="1" applyBorder="1" applyAlignment="1">
      <alignment vertical="center"/>
    </xf>
    <xf numFmtId="0" fontId="0" fillId="17" borderId="0" xfId="0" applyFill="1"/>
    <xf numFmtId="0" fontId="0" fillId="17" borderId="0" xfId="0" applyFill="1" applyBorder="1"/>
    <xf numFmtId="0" fontId="3" fillId="17" borderId="11" xfId="0" applyFont="1" applyFill="1" applyBorder="1" applyAlignment="1">
      <alignment vertical="center"/>
    </xf>
    <xf numFmtId="0" fontId="3" fillId="17" borderId="12" xfId="0" applyFont="1" applyFill="1" applyBorder="1" applyAlignment="1">
      <alignment vertical="center"/>
    </xf>
    <xf numFmtId="0" fontId="11" fillId="17" borderId="11" xfId="0" applyFont="1" applyFill="1" applyBorder="1" applyAlignment="1">
      <alignment vertical="center"/>
    </xf>
    <xf numFmtId="0" fontId="9" fillId="17" borderId="16" xfId="0" applyFont="1" applyFill="1" applyBorder="1" applyAlignment="1">
      <alignment vertical="center"/>
    </xf>
    <xf numFmtId="0" fontId="9" fillId="17" borderId="17" xfId="0" applyFont="1" applyFill="1" applyBorder="1" applyAlignment="1">
      <alignment vertical="center"/>
    </xf>
    <xf numFmtId="0" fontId="9" fillId="17" borderId="18" xfId="0" applyFont="1" applyFill="1" applyBorder="1" applyAlignment="1">
      <alignment vertical="center"/>
    </xf>
    <xf numFmtId="0" fontId="17" fillId="11" borderId="24" xfId="0" applyFont="1" applyFill="1" applyBorder="1" applyAlignment="1">
      <alignment horizontal="left" vertical="center" indent="1"/>
    </xf>
    <xf numFmtId="11" fontId="17" fillId="11" borderId="24" xfId="0" applyNumberFormat="1" applyFont="1" applyFill="1" applyBorder="1" applyAlignment="1">
      <alignment horizontal="left" vertical="center" indent="1"/>
    </xf>
    <xf numFmtId="0" fontId="17" fillId="11" borderId="25" xfId="0" applyFont="1" applyFill="1" applyBorder="1" applyAlignment="1">
      <alignment horizontal="left" vertical="center" indent="1"/>
    </xf>
    <xf numFmtId="0" fontId="23" fillId="14" borderId="27" xfId="0" applyFont="1" applyFill="1" applyBorder="1" applyAlignment="1">
      <alignment horizontal="left" vertical="center" indent="1"/>
    </xf>
    <xf numFmtId="0" fontId="26" fillId="8" borderId="33" xfId="0" applyFont="1" applyFill="1" applyBorder="1" applyAlignment="1">
      <alignment horizontal="left" vertical="center" indent="1"/>
    </xf>
    <xf numFmtId="11" fontId="26" fillId="8" borderId="33" xfId="0" applyNumberFormat="1" applyFont="1" applyFill="1" applyBorder="1" applyAlignment="1">
      <alignment horizontal="left" vertical="center" indent="1"/>
    </xf>
    <xf numFmtId="0" fontId="26" fillId="8" borderId="35" xfId="0" applyFont="1" applyFill="1" applyBorder="1" applyAlignment="1">
      <alignment horizontal="left" vertical="center" indent="1"/>
    </xf>
    <xf numFmtId="0" fontId="13" fillId="9" borderId="37" xfId="0" applyFont="1" applyFill="1" applyBorder="1" applyAlignment="1">
      <alignment horizontal="left" vertical="center" indent="1"/>
    </xf>
    <xf numFmtId="0" fontId="13" fillId="9" borderId="39" xfId="0" applyFont="1" applyFill="1" applyBorder="1" applyAlignment="1">
      <alignment horizontal="left" vertical="center" indent="1"/>
    </xf>
    <xf numFmtId="0" fontId="29" fillId="13" borderId="41" xfId="0" applyFont="1" applyFill="1" applyBorder="1" applyAlignment="1">
      <alignment horizontal="left" vertical="center" indent="1"/>
    </xf>
    <xf numFmtId="11" fontId="29" fillId="13" borderId="43" xfId="0" applyNumberFormat="1" applyFont="1" applyFill="1" applyBorder="1" applyAlignment="1">
      <alignment horizontal="left" vertical="center" indent="1"/>
    </xf>
    <xf numFmtId="0" fontId="20" fillId="12" borderId="45" xfId="0" applyFont="1" applyFill="1" applyBorder="1" applyAlignment="1">
      <alignment horizontal="left" vertical="center" indent="1"/>
    </xf>
    <xf numFmtId="11" fontId="23" fillId="14" borderId="27" xfId="0" applyNumberFormat="1" applyFont="1" applyFill="1" applyBorder="1" applyAlignment="1">
      <alignment horizontal="left" vertical="center" indent="1"/>
    </xf>
    <xf numFmtId="0" fontId="23" fillId="7" borderId="52" xfId="0" applyFont="1" applyFill="1" applyBorder="1" applyAlignment="1">
      <alignment horizontal="left" vertical="center" indent="1"/>
    </xf>
    <xf numFmtId="0" fontId="17" fillId="10" borderId="53" xfId="0" applyFont="1" applyFill="1" applyBorder="1" applyAlignment="1">
      <alignment horizontal="left" vertical="center" indent="1"/>
    </xf>
    <xf numFmtId="0" fontId="26" fillId="6" borderId="54" xfId="0" applyFont="1" applyFill="1" applyBorder="1" applyAlignment="1">
      <alignment horizontal="left" vertical="center" indent="1"/>
    </xf>
    <xf numFmtId="0" fontId="13" fillId="3" borderId="55" xfId="0" applyFont="1" applyFill="1" applyBorder="1" applyAlignment="1">
      <alignment horizontal="left" vertical="center" indent="1"/>
    </xf>
    <xf numFmtId="0" fontId="29" fillId="2" borderId="56" xfId="0" applyFont="1" applyFill="1" applyBorder="1" applyAlignment="1">
      <alignment horizontal="left" vertical="center" indent="1"/>
    </xf>
    <xf numFmtId="0" fontId="20" fillId="15" borderId="57" xfId="0" applyFont="1" applyFill="1" applyBorder="1" applyAlignment="1">
      <alignment horizontal="left" vertical="center" indent="1"/>
    </xf>
    <xf numFmtId="0" fontId="38" fillId="0" borderId="0" xfId="3" applyFont="1" applyAlignment="1" applyProtection="1">
      <alignment horizontal="left" vertical="center"/>
      <protection hidden="1"/>
    </xf>
    <xf numFmtId="0" fontId="4" fillId="0" borderId="0" xfId="3" applyFont="1" applyFill="1" applyBorder="1" applyAlignment="1" applyProtection="1">
      <alignment horizontal="right" vertical="center"/>
      <protection hidden="1"/>
    </xf>
    <xf numFmtId="0" fontId="2" fillId="17" borderId="58" xfId="0" applyFont="1" applyFill="1" applyBorder="1" applyAlignment="1">
      <alignment horizontal="right" vertical="top" indent="1"/>
    </xf>
    <xf numFmtId="0" fontId="33" fillId="5" borderId="1" xfId="0" quotePrefix="1" applyFont="1" applyFill="1" applyBorder="1" applyAlignment="1">
      <alignment horizontal="left" vertical="center"/>
    </xf>
    <xf numFmtId="0" fontId="24" fillId="14" borderId="59" xfId="0" applyFont="1" applyFill="1" applyBorder="1" applyAlignment="1">
      <alignment horizontal="left" vertical="center" indent="1"/>
    </xf>
    <xf numFmtId="0" fontId="24" fillId="14" borderId="60" xfId="0" applyFont="1" applyFill="1" applyBorder="1" applyAlignment="1">
      <alignment horizontal="left" vertical="center" indent="1"/>
    </xf>
    <xf numFmtId="0" fontId="18" fillId="11" borderId="61" xfId="0" applyFont="1" applyFill="1" applyBorder="1" applyAlignment="1">
      <alignment horizontal="left" vertical="center" indent="1"/>
    </xf>
    <xf numFmtId="0" fontId="18" fillId="11" borderId="61" xfId="0" quotePrefix="1" applyFont="1" applyFill="1" applyBorder="1" applyAlignment="1">
      <alignment horizontal="left" vertical="center" indent="1"/>
    </xf>
    <xf numFmtId="0" fontId="18" fillId="11" borderId="62" xfId="0" applyFont="1" applyFill="1" applyBorder="1" applyAlignment="1">
      <alignment horizontal="left" vertical="center" indent="1"/>
    </xf>
    <xf numFmtId="0" fontId="27" fillId="8" borderId="63" xfId="0" applyFont="1" applyFill="1" applyBorder="1" applyAlignment="1">
      <alignment horizontal="left" vertical="center" indent="1"/>
    </xf>
    <xf numFmtId="0" fontId="14" fillId="9" borderId="65" xfId="0" applyFont="1" applyFill="1" applyBorder="1" applyAlignment="1">
      <alignment horizontal="left" vertical="center" indent="1"/>
    </xf>
    <xf numFmtId="0" fontId="14" fillId="9" borderId="66" xfId="0" applyFont="1" applyFill="1" applyBorder="1" applyAlignment="1">
      <alignment horizontal="left" vertical="center" indent="1"/>
    </xf>
    <xf numFmtId="0" fontId="30" fillId="13" borderId="67" xfId="0" applyFont="1" applyFill="1" applyBorder="1" applyAlignment="1">
      <alignment horizontal="left" vertical="center" indent="1"/>
    </xf>
    <xf numFmtId="0" fontId="30" fillId="13" borderId="68" xfId="0" applyFont="1" applyFill="1" applyBorder="1" applyAlignment="1">
      <alignment horizontal="left" vertical="center" indent="1"/>
    </xf>
    <xf numFmtId="0" fontId="21" fillId="12" borderId="69" xfId="0" applyFont="1" applyFill="1" applyBorder="1" applyAlignment="1">
      <alignment horizontal="left" vertical="center" indent="1"/>
    </xf>
    <xf numFmtId="0" fontId="23" fillId="14" borderId="29" xfId="0" applyFont="1" applyFill="1" applyBorder="1" applyAlignment="1">
      <alignment horizontal="left" vertical="center" indent="1"/>
    </xf>
    <xf numFmtId="0" fontId="43" fillId="5" borderId="71" xfId="0" applyFont="1" applyFill="1" applyBorder="1" applyAlignment="1">
      <alignment horizontal="left" vertical="center" indent="1"/>
    </xf>
    <xf numFmtId="0" fontId="44" fillId="5" borderId="71" xfId="0" applyFont="1" applyFill="1" applyBorder="1" applyAlignment="1">
      <alignment horizontal="left" vertical="center" indent="1"/>
    </xf>
    <xf numFmtId="11" fontId="44" fillId="5" borderId="71" xfId="0" applyNumberFormat="1" applyFont="1" applyFill="1" applyBorder="1" applyAlignment="1">
      <alignment horizontal="left" vertical="center" indent="1"/>
    </xf>
    <xf numFmtId="11" fontId="43" fillId="5" borderId="72" xfId="0" applyNumberFormat="1" applyFont="1" applyFill="1" applyBorder="1" applyAlignment="1">
      <alignment horizontal="left" vertical="center" indent="1"/>
    </xf>
    <xf numFmtId="0" fontId="44" fillId="5" borderId="72" xfId="0" applyFont="1" applyFill="1" applyBorder="1" applyAlignment="1">
      <alignment horizontal="left" vertical="center" indent="1"/>
    </xf>
    <xf numFmtId="0" fontId="20" fillId="12" borderId="74" xfId="0" applyFont="1" applyFill="1" applyBorder="1" applyAlignment="1">
      <alignment horizontal="left" vertical="center" indent="1"/>
    </xf>
    <xf numFmtId="0" fontId="21" fillId="12" borderId="75" xfId="0" applyFont="1" applyFill="1" applyBorder="1" applyAlignment="1">
      <alignment horizontal="left" vertical="center" indent="1"/>
    </xf>
    <xf numFmtId="0" fontId="45" fillId="8" borderId="64" xfId="0" applyFont="1" applyFill="1" applyBorder="1" applyAlignment="1">
      <alignment horizontal="left" vertical="center" indent="1"/>
    </xf>
    <xf numFmtId="0" fontId="4" fillId="0" borderId="0" xfId="3" applyFont="1" applyAlignment="1" applyProtection="1">
      <alignment horizontal="right" vertical="center"/>
      <protection hidden="1"/>
    </xf>
    <xf numFmtId="0" fontId="43" fillId="4" borderId="76" xfId="0" applyFont="1" applyFill="1" applyBorder="1" applyAlignment="1">
      <alignment horizontal="left" vertical="center" indent="1"/>
    </xf>
    <xf numFmtId="0" fontId="44" fillId="4" borderId="76" xfId="0" applyFont="1" applyFill="1" applyBorder="1" applyAlignment="1">
      <alignment horizontal="left" vertical="center" indent="1"/>
    </xf>
    <xf numFmtId="0" fontId="24" fillId="7" borderId="80" xfId="0" applyFont="1" applyFill="1" applyBorder="1" applyAlignment="1">
      <alignment horizontal="left" vertical="center" indent="1"/>
    </xf>
    <xf numFmtId="0" fontId="18" fillId="10" borderId="81" xfId="0" applyFont="1" applyFill="1" applyBorder="1" applyAlignment="1">
      <alignment horizontal="left" vertical="center" indent="1"/>
    </xf>
    <xf numFmtId="0" fontId="27" fillId="6" borderId="82" xfId="0" applyFont="1" applyFill="1" applyBorder="1" applyAlignment="1">
      <alignment horizontal="left" vertical="center" indent="1"/>
    </xf>
    <xf numFmtId="0" fontId="14" fillId="3" borderId="83" xfId="0" applyFont="1" applyFill="1" applyBorder="1" applyAlignment="1">
      <alignment horizontal="left" vertical="center" indent="1"/>
    </xf>
    <xf numFmtId="0" fontId="30" fillId="2" borderId="84" xfId="0" applyFont="1" applyFill="1" applyBorder="1" applyAlignment="1">
      <alignment horizontal="left" vertical="center" indent="1"/>
    </xf>
    <xf numFmtId="0" fontId="21" fillId="15" borderId="85" xfId="0" applyFont="1" applyFill="1" applyBorder="1" applyAlignment="1">
      <alignment horizontal="left" vertical="center" indent="1"/>
    </xf>
    <xf numFmtId="0" fontId="37" fillId="7" borderId="14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23" fillId="7" borderId="14" xfId="0" applyFont="1" applyFill="1" applyBorder="1" applyAlignment="1">
      <alignment horizontal="center" vertical="center"/>
    </xf>
    <xf numFmtId="0" fontId="43" fillId="4" borderId="76" xfId="0" applyFont="1" applyFill="1" applyBorder="1" applyAlignment="1">
      <alignment horizontal="center" vertical="center"/>
    </xf>
    <xf numFmtId="0" fontId="17" fillId="10" borderId="14" xfId="0" applyFont="1" applyFill="1" applyBorder="1" applyAlignment="1">
      <alignment horizontal="center" vertical="center"/>
    </xf>
    <xf numFmtId="0" fontId="26" fillId="6" borderId="14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29" fillId="2" borderId="14" xfId="0" applyFont="1" applyFill="1" applyBorder="1" applyAlignment="1">
      <alignment horizontal="center" vertical="center"/>
    </xf>
    <xf numFmtId="0" fontId="20" fillId="15" borderId="14" xfId="0" applyFont="1" applyFill="1" applyBorder="1" applyAlignment="1">
      <alignment horizontal="center" vertical="center"/>
    </xf>
    <xf numFmtId="0" fontId="17" fillId="10" borderId="98" xfId="0" applyFont="1" applyFill="1" applyBorder="1" applyAlignment="1">
      <alignment horizontal="center" vertical="center"/>
    </xf>
    <xf numFmtId="0" fontId="17" fillId="10" borderId="99" xfId="0" applyFont="1" applyFill="1" applyBorder="1" applyAlignment="1">
      <alignment horizontal="center" vertical="center"/>
    </xf>
    <xf numFmtId="0" fontId="13" fillId="3" borderId="100" xfId="0" applyFont="1" applyFill="1" applyBorder="1" applyAlignment="1">
      <alignment horizontal="center" vertical="center"/>
    </xf>
    <xf numFmtId="0" fontId="13" fillId="3" borderId="101" xfId="0" applyFont="1" applyFill="1" applyBorder="1" applyAlignment="1">
      <alignment horizontal="center" vertical="center"/>
    </xf>
    <xf numFmtId="0" fontId="48" fillId="17" borderId="0" xfId="0" applyFont="1" applyFill="1" applyBorder="1" applyAlignment="1">
      <alignment vertical="center"/>
    </xf>
    <xf numFmtId="0" fontId="49" fillId="8" borderId="35" xfId="0" applyFont="1" applyFill="1" applyBorder="1" applyAlignment="1">
      <alignment horizontal="left" vertical="center" indent="1"/>
    </xf>
    <xf numFmtId="0" fontId="40" fillId="0" borderId="0" xfId="2" applyFont="1" applyAlignment="1" applyProtection="1">
      <alignment vertical="center"/>
      <protection hidden="1"/>
    </xf>
    <xf numFmtId="0" fontId="0" fillId="0" borderId="0" xfId="0" applyProtection="1">
      <protection locked="0"/>
    </xf>
    <xf numFmtId="0" fontId="9" fillId="17" borderId="0" xfId="0" applyFont="1" applyFill="1" applyBorder="1" applyAlignment="1" applyProtection="1">
      <alignment vertical="center"/>
      <protection locked="0"/>
    </xf>
    <xf numFmtId="0" fontId="39" fillId="0" borderId="0" xfId="3" applyFont="1" applyAlignment="1" applyProtection="1">
      <alignment horizontal="left" vertical="center"/>
      <protection hidden="1"/>
    </xf>
    <xf numFmtId="0" fontId="50" fillId="17" borderId="0" xfId="3" applyFont="1" applyFill="1" applyAlignment="1">
      <alignment horizontal="left" vertical="center" indent="1"/>
    </xf>
    <xf numFmtId="0" fontId="38" fillId="17" borderId="0" xfId="3" applyFont="1" applyFill="1" applyAlignment="1" applyProtection="1">
      <alignment horizontal="left" vertical="center"/>
      <protection hidden="1"/>
    </xf>
    <xf numFmtId="0" fontId="31" fillId="20" borderId="2" xfId="0" applyFont="1" applyFill="1" applyBorder="1" applyAlignment="1">
      <alignment horizontal="center" vertical="center"/>
    </xf>
    <xf numFmtId="0" fontId="13" fillId="9" borderId="37" xfId="0" applyFont="1" applyFill="1" applyBorder="1" applyAlignment="1">
      <alignment horizontal="right" vertical="center" indent="1"/>
    </xf>
    <xf numFmtId="0" fontId="17" fillId="11" borderId="24" xfId="0" applyFont="1" applyFill="1" applyBorder="1" applyAlignment="1">
      <alignment horizontal="right" vertical="center" indent="1"/>
    </xf>
    <xf numFmtId="0" fontId="12" fillId="16" borderId="3" xfId="0" applyFont="1" applyFill="1" applyBorder="1" applyAlignment="1">
      <alignment horizontal="center" vertical="center"/>
    </xf>
    <xf numFmtId="0" fontId="40" fillId="0" borderId="0" xfId="2" applyFont="1" applyAlignment="1" applyProtection="1">
      <alignment horizontal="right" vertical="center"/>
      <protection hidden="1"/>
    </xf>
    <xf numFmtId="0" fontId="7" fillId="0" borderId="0" xfId="0" applyFont="1"/>
    <xf numFmtId="0" fontId="40" fillId="0" borderId="0" xfId="2" applyFont="1" applyAlignment="1" applyProtection="1">
      <alignment horizontal="right" vertical="center"/>
      <protection hidden="1"/>
    </xf>
    <xf numFmtId="0" fontId="0" fillId="0" borderId="0" xfId="0" applyProtection="1">
      <protection hidden="1"/>
    </xf>
    <xf numFmtId="0" fontId="7" fillId="5" borderId="4" xfId="0" applyFont="1" applyFill="1" applyBorder="1" applyAlignment="1" applyProtection="1">
      <alignment horizontal="left" vertical="center" indent="1"/>
      <protection hidden="1"/>
    </xf>
    <xf numFmtId="0" fontId="6" fillId="5" borderId="1" xfId="0" applyFont="1" applyFill="1" applyBorder="1" applyAlignment="1" applyProtection="1">
      <alignment horizontal="left" vertical="center" indent="1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47" fillId="5" borderId="1" xfId="0" applyFont="1" applyFill="1" applyBorder="1" applyAlignment="1" applyProtection="1">
      <alignment horizontal="center" vertical="center"/>
      <protection hidden="1"/>
    </xf>
    <xf numFmtId="0" fontId="37" fillId="7" borderId="14" xfId="0" applyFont="1" applyFill="1" applyBorder="1" applyAlignment="1" applyProtection="1">
      <alignment horizontal="center" vertical="center"/>
      <protection hidden="1"/>
    </xf>
    <xf numFmtId="0" fontId="23" fillId="7" borderId="14" xfId="0" applyFont="1" applyFill="1" applyBorder="1" applyAlignment="1" applyProtection="1">
      <alignment horizontal="center" vertical="center"/>
      <protection hidden="1"/>
    </xf>
    <xf numFmtId="0" fontId="9" fillId="17" borderId="11" xfId="0" applyFont="1" applyFill="1" applyBorder="1" applyAlignment="1" applyProtection="1">
      <alignment vertical="center"/>
      <protection hidden="1"/>
    </xf>
    <xf numFmtId="0" fontId="9" fillId="17" borderId="0" xfId="0" applyFont="1" applyFill="1" applyBorder="1" applyAlignment="1" applyProtection="1">
      <alignment vertical="center"/>
      <protection hidden="1"/>
    </xf>
    <xf numFmtId="0" fontId="9" fillId="17" borderId="12" xfId="0" applyFont="1" applyFill="1" applyBorder="1" applyAlignment="1" applyProtection="1">
      <alignment vertical="center"/>
      <protection hidden="1"/>
    </xf>
    <xf numFmtId="0" fontId="43" fillId="4" borderId="76" xfId="0" applyFont="1" applyFill="1" applyBorder="1" applyAlignment="1" applyProtection="1">
      <alignment horizontal="center" vertical="center"/>
      <protection hidden="1"/>
    </xf>
    <xf numFmtId="0" fontId="0" fillId="17" borderId="0" xfId="0" applyFill="1" applyProtection="1">
      <protection hidden="1"/>
    </xf>
    <xf numFmtId="0" fontId="17" fillId="10" borderId="14" xfId="0" applyFont="1" applyFill="1" applyBorder="1" applyAlignment="1" applyProtection="1">
      <alignment horizontal="center" vertical="center"/>
      <protection hidden="1"/>
    </xf>
    <xf numFmtId="0" fontId="48" fillId="17" borderId="0" xfId="0" applyFont="1" applyFill="1" applyBorder="1" applyAlignment="1" applyProtection="1">
      <alignment vertical="center"/>
      <protection hidden="1"/>
    </xf>
    <xf numFmtId="0" fontId="17" fillId="10" borderId="98" xfId="0" applyFont="1" applyFill="1" applyBorder="1" applyAlignment="1" applyProtection="1">
      <alignment horizontal="center" vertical="center"/>
      <protection hidden="1"/>
    </xf>
    <xf numFmtId="0" fontId="17" fillId="10" borderId="99" xfId="0" applyFont="1" applyFill="1" applyBorder="1" applyAlignment="1" applyProtection="1">
      <alignment horizontal="center" vertical="center"/>
      <protection hidden="1"/>
    </xf>
    <xf numFmtId="0" fontId="26" fillId="6" borderId="14" xfId="0" applyFont="1" applyFill="1" applyBorder="1" applyAlignment="1" applyProtection="1">
      <alignment horizontal="center" vertical="center"/>
      <protection hidden="1"/>
    </xf>
    <xf numFmtId="0" fontId="0" fillId="17" borderId="0" xfId="0" applyFill="1" applyBorder="1" applyProtection="1">
      <protection hidden="1"/>
    </xf>
    <xf numFmtId="0" fontId="13" fillId="3" borderId="14" xfId="0" applyFont="1" applyFill="1" applyBorder="1" applyAlignment="1" applyProtection="1">
      <alignment horizontal="center" vertical="center"/>
      <protection hidden="1"/>
    </xf>
    <xf numFmtId="0" fontId="13" fillId="3" borderId="100" xfId="0" applyFont="1" applyFill="1" applyBorder="1" applyAlignment="1" applyProtection="1">
      <alignment horizontal="center" vertical="center"/>
      <protection hidden="1"/>
    </xf>
    <xf numFmtId="0" fontId="13" fillId="3" borderId="101" xfId="0" applyFont="1" applyFill="1" applyBorder="1" applyAlignment="1" applyProtection="1">
      <alignment horizontal="center" vertical="center"/>
      <protection hidden="1"/>
    </xf>
    <xf numFmtId="0" fontId="3" fillId="17" borderId="11" xfId="0" applyFont="1" applyFill="1" applyBorder="1" applyAlignment="1" applyProtection="1">
      <alignment vertical="center"/>
      <protection hidden="1"/>
    </xf>
    <xf numFmtId="0" fontId="3" fillId="17" borderId="12" xfId="0" applyFont="1" applyFill="1" applyBorder="1" applyAlignment="1" applyProtection="1">
      <alignment vertical="center"/>
      <protection hidden="1"/>
    </xf>
    <xf numFmtId="0" fontId="11" fillId="17" borderId="11" xfId="0" applyFont="1" applyFill="1" applyBorder="1" applyAlignment="1" applyProtection="1">
      <alignment vertical="center"/>
      <protection hidden="1"/>
    </xf>
    <xf numFmtId="0" fontId="29" fillId="2" borderId="14" xfId="0" applyFont="1" applyFill="1" applyBorder="1" applyAlignment="1" applyProtection="1">
      <alignment horizontal="center" vertical="center"/>
      <protection hidden="1"/>
    </xf>
    <xf numFmtId="0" fontId="20" fillId="15" borderId="14" xfId="0" applyFont="1" applyFill="1" applyBorder="1" applyAlignment="1" applyProtection="1">
      <alignment horizontal="center" vertical="center"/>
      <protection hidden="1"/>
    </xf>
    <xf numFmtId="0" fontId="9" fillId="17" borderId="16" xfId="0" applyFont="1" applyFill="1" applyBorder="1" applyAlignment="1" applyProtection="1">
      <alignment vertical="center"/>
      <protection hidden="1"/>
    </xf>
    <xf numFmtId="0" fontId="9" fillId="17" borderId="17" xfId="0" applyFont="1" applyFill="1" applyBorder="1" applyAlignment="1" applyProtection="1">
      <alignment vertical="center"/>
      <protection hidden="1"/>
    </xf>
    <xf numFmtId="0" fontId="9" fillId="17" borderId="18" xfId="0" applyFont="1" applyFill="1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1" fillId="0" borderId="0" xfId="4"/>
    <xf numFmtId="0" fontId="55" fillId="0" borderId="0" xfId="4" applyFont="1" applyFill="1" applyAlignment="1" applyProtection="1">
      <alignment horizontal="centerContinuous"/>
      <protection hidden="1"/>
    </xf>
    <xf numFmtId="0" fontId="1" fillId="0" borderId="0" xfId="4" applyFill="1" applyAlignment="1" applyProtection="1">
      <alignment horizontal="centerContinuous"/>
      <protection hidden="1"/>
    </xf>
    <xf numFmtId="0" fontId="1" fillId="21" borderId="2" xfId="4" applyFill="1" applyBorder="1" applyAlignment="1" applyProtection="1">
      <alignment horizontal="center" vertical="center"/>
      <protection hidden="1"/>
    </xf>
    <xf numFmtId="0" fontId="56" fillId="3" borderId="103" xfId="4" applyFont="1" applyFill="1" applyBorder="1" applyAlignment="1" applyProtection="1">
      <alignment horizontal="center" vertical="center"/>
      <protection hidden="1"/>
    </xf>
    <xf numFmtId="0" fontId="56" fillId="3" borderId="3" xfId="4" applyFont="1" applyFill="1" applyBorder="1" applyAlignment="1" applyProtection="1">
      <alignment horizontal="center" vertical="center"/>
      <protection hidden="1"/>
    </xf>
    <xf numFmtId="0" fontId="56" fillId="3" borderId="104" xfId="4" applyFont="1" applyFill="1" applyBorder="1" applyAlignment="1" applyProtection="1">
      <alignment horizontal="center" vertical="center"/>
      <protection hidden="1"/>
    </xf>
    <xf numFmtId="0" fontId="57" fillId="6" borderId="105" xfId="4" applyFont="1" applyFill="1" applyBorder="1" applyAlignment="1" applyProtection="1">
      <alignment horizontal="center" vertical="center"/>
      <protection hidden="1"/>
    </xf>
    <xf numFmtId="0" fontId="58" fillId="2" borderId="106" xfId="4" applyFont="1" applyFill="1" applyBorder="1" applyAlignment="1" applyProtection="1">
      <alignment horizontal="center" vertical="center"/>
      <protection hidden="1"/>
    </xf>
    <xf numFmtId="0" fontId="58" fillId="2" borderId="107" xfId="4" applyFont="1" applyFill="1" applyBorder="1" applyAlignment="1" applyProtection="1">
      <alignment horizontal="center" vertical="center"/>
      <protection hidden="1"/>
    </xf>
    <xf numFmtId="0" fontId="58" fillId="2" borderId="108" xfId="4" applyFont="1" applyFill="1" applyBorder="1" applyAlignment="1" applyProtection="1">
      <alignment horizontal="center" vertical="center"/>
      <protection hidden="1"/>
    </xf>
    <xf numFmtId="0" fontId="59" fillId="10" borderId="109" xfId="4" applyFont="1" applyFill="1" applyBorder="1" applyAlignment="1" applyProtection="1">
      <alignment horizontal="center" vertical="center"/>
      <protection hidden="1"/>
    </xf>
    <xf numFmtId="0" fontId="60" fillId="0" borderId="110" xfId="4" applyFont="1" applyFill="1" applyBorder="1" applyAlignment="1" applyProtection="1">
      <alignment horizontal="center" vertical="center"/>
      <protection hidden="1"/>
    </xf>
    <xf numFmtId="0" fontId="60" fillId="0" borderId="111" xfId="4" applyFont="1" applyFill="1" applyBorder="1" applyAlignment="1" applyProtection="1">
      <alignment horizontal="center" vertical="center"/>
      <protection hidden="1"/>
    </xf>
    <xf numFmtId="0" fontId="60" fillId="0" borderId="112" xfId="4" applyFont="1" applyFill="1" applyBorder="1" applyAlignment="1" applyProtection="1">
      <alignment horizontal="center" vertical="center"/>
      <protection hidden="1"/>
    </xf>
    <xf numFmtId="0" fontId="60" fillId="18" borderId="110" xfId="4" applyFont="1" applyFill="1" applyBorder="1" applyAlignment="1" applyProtection="1">
      <alignment horizontal="center" vertical="center"/>
      <protection hidden="1"/>
    </xf>
    <xf numFmtId="0" fontId="60" fillId="18" borderId="111" xfId="4" applyFont="1" applyFill="1" applyBorder="1" applyAlignment="1" applyProtection="1">
      <alignment horizontal="center" vertical="center"/>
      <protection hidden="1"/>
    </xf>
    <xf numFmtId="0" fontId="60" fillId="18" borderId="112" xfId="4" applyFont="1" applyFill="1" applyBorder="1" applyAlignment="1" applyProtection="1">
      <alignment horizontal="center" vertical="center"/>
      <protection hidden="1"/>
    </xf>
    <xf numFmtId="0" fontId="59" fillId="10" borderId="105" xfId="4" applyFont="1" applyFill="1" applyBorder="1" applyAlignment="1" applyProtection="1">
      <alignment horizontal="center" vertical="center"/>
      <protection hidden="1"/>
    </xf>
    <xf numFmtId="0" fontId="61" fillId="0" borderId="113" xfId="4" applyFont="1" applyFill="1" applyBorder="1" applyAlignment="1" applyProtection="1">
      <alignment horizontal="center" vertical="center"/>
      <protection hidden="1"/>
    </xf>
    <xf numFmtId="0" fontId="61" fillId="0" borderId="114" xfId="4" applyFont="1" applyFill="1" applyBorder="1" applyAlignment="1" applyProtection="1">
      <alignment horizontal="center" vertical="center"/>
      <protection hidden="1"/>
    </xf>
    <xf numFmtId="0" fontId="61" fillId="0" borderId="115" xfId="4" applyFont="1" applyFill="1" applyBorder="1" applyAlignment="1" applyProtection="1">
      <alignment horizontal="center" vertical="center"/>
      <protection hidden="1"/>
    </xf>
    <xf numFmtId="0" fontId="1" fillId="2" borderId="107" xfId="4" applyFill="1" applyBorder="1" applyAlignment="1" applyProtection="1">
      <alignment horizontal="center" vertical="center"/>
      <protection hidden="1"/>
    </xf>
    <xf numFmtId="0" fontId="59" fillId="10" borderId="116" xfId="4" applyFont="1" applyFill="1" applyBorder="1" applyAlignment="1" applyProtection="1">
      <alignment horizontal="center" vertical="center"/>
      <protection hidden="1"/>
    </xf>
    <xf numFmtId="49" fontId="39" fillId="0" borderId="0" xfId="3" applyNumberFormat="1" applyFont="1" applyAlignment="1" applyProtection="1">
      <alignment horizontal="left" vertical="center"/>
      <protection hidden="1"/>
    </xf>
    <xf numFmtId="0" fontId="40" fillId="0" borderId="0" xfId="2" applyFont="1" applyAlignment="1" applyProtection="1">
      <alignment horizontal="center" vertical="center"/>
      <protection hidden="1"/>
    </xf>
    <xf numFmtId="0" fontId="12" fillId="16" borderId="3" xfId="0" applyFont="1" applyFill="1" applyBorder="1" applyAlignment="1">
      <alignment horizontal="center" vertical="center"/>
    </xf>
    <xf numFmtId="0" fontId="40" fillId="0" borderId="0" xfId="2" applyFont="1" applyAlignment="1" applyProtection="1">
      <alignment horizontal="right" vertical="center"/>
      <protection hidden="1"/>
    </xf>
    <xf numFmtId="0" fontId="7" fillId="4" borderId="13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41" fillId="4" borderId="11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horizontal="center" vertical="center"/>
    </xf>
    <xf numFmtId="0" fontId="10" fillId="17" borderId="23" xfId="0" applyFont="1" applyFill="1" applyBorder="1" applyAlignment="1" applyProtection="1">
      <alignment horizontal="center" vertical="center"/>
      <protection hidden="1"/>
    </xf>
    <xf numFmtId="0" fontId="10" fillId="17" borderId="0" xfId="0" applyFont="1" applyFill="1" applyBorder="1" applyAlignment="1" applyProtection="1">
      <alignment horizontal="center" vertical="center"/>
      <protection hidden="1"/>
    </xf>
    <xf numFmtId="0" fontId="34" fillId="18" borderId="19" xfId="0" applyFont="1" applyFill="1" applyBorder="1" applyAlignment="1" applyProtection="1">
      <alignment horizontal="center" vertical="center"/>
      <protection locked="0" hidden="1"/>
    </xf>
    <xf numFmtId="0" fontId="34" fillId="18" borderId="20" xfId="0" applyFont="1" applyFill="1" applyBorder="1" applyAlignment="1" applyProtection="1">
      <alignment horizontal="center" vertical="center"/>
      <protection locked="0" hidden="1"/>
    </xf>
    <xf numFmtId="0" fontId="34" fillId="18" borderId="21" xfId="0" applyFont="1" applyFill="1" applyBorder="1" applyAlignment="1" applyProtection="1">
      <alignment horizontal="center" vertical="center"/>
      <protection locked="0" hidden="1"/>
    </xf>
    <xf numFmtId="0" fontId="32" fillId="17" borderId="0" xfId="0" applyFont="1" applyFill="1" applyBorder="1" applyAlignment="1">
      <alignment horizontal="right" vertical="center" indent="1"/>
    </xf>
    <xf numFmtId="0" fontId="10" fillId="17" borderId="22" xfId="0" applyFont="1" applyFill="1" applyBorder="1" applyAlignment="1" applyProtection="1">
      <alignment horizontal="center" vertical="center"/>
      <protection hidden="1"/>
    </xf>
    <xf numFmtId="0" fontId="7" fillId="5" borderId="13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41" fillId="5" borderId="11" xfId="0" applyFont="1" applyFill="1" applyBorder="1" applyAlignment="1">
      <alignment horizontal="center" vertical="center"/>
    </xf>
    <xf numFmtId="0" fontId="41" fillId="5" borderId="0" xfId="0" applyFont="1" applyFill="1" applyBorder="1" applyAlignment="1">
      <alignment horizontal="center" vertical="center"/>
    </xf>
    <xf numFmtId="0" fontId="41" fillId="5" borderId="12" xfId="0" applyFont="1" applyFill="1" applyBorder="1" applyAlignment="1">
      <alignment horizontal="center" vertical="center"/>
    </xf>
    <xf numFmtId="0" fontId="35" fillId="18" borderId="19" xfId="0" applyFont="1" applyFill="1" applyBorder="1" applyAlignment="1" applyProtection="1">
      <alignment horizontal="left" vertical="center" indent="1"/>
      <protection locked="0" hidden="1"/>
    </xf>
    <xf numFmtId="0" fontId="35" fillId="18" borderId="20" xfId="0" applyFont="1" applyFill="1" applyBorder="1" applyAlignment="1" applyProtection="1">
      <alignment horizontal="left" vertical="center" indent="1"/>
      <protection locked="0" hidden="1"/>
    </xf>
    <xf numFmtId="0" fontId="35" fillId="18" borderId="21" xfId="0" applyFont="1" applyFill="1" applyBorder="1" applyAlignment="1" applyProtection="1">
      <alignment horizontal="left" vertical="center" indent="1"/>
      <protection locked="0" hidden="1"/>
    </xf>
    <xf numFmtId="0" fontId="32" fillId="17" borderId="0" xfId="0" applyFont="1" applyFill="1" applyBorder="1" applyAlignment="1">
      <alignment horizontal="left" vertical="center" indent="1"/>
    </xf>
    <xf numFmtId="0" fontId="36" fillId="17" borderId="0" xfId="0" applyFont="1" applyFill="1" applyBorder="1" applyAlignment="1">
      <alignment horizontal="right" vertical="center" indent="1"/>
    </xf>
    <xf numFmtId="0" fontId="19" fillId="15" borderId="51" xfId="0" applyFont="1" applyFill="1" applyBorder="1" applyAlignment="1">
      <alignment horizontal="center" vertical="center"/>
    </xf>
    <xf numFmtId="0" fontId="19" fillId="15" borderId="44" xfId="0" applyFont="1" applyFill="1" applyBorder="1" applyAlignment="1">
      <alignment horizontal="center" vertical="center"/>
    </xf>
    <xf numFmtId="0" fontId="19" fillId="15" borderId="73" xfId="0" applyFont="1" applyFill="1" applyBorder="1" applyAlignment="1">
      <alignment horizontal="center" vertical="center"/>
    </xf>
    <xf numFmtId="0" fontId="20" fillId="15" borderId="96" xfId="0" applyFont="1" applyFill="1" applyBorder="1" applyAlignment="1" applyProtection="1">
      <alignment horizontal="center" vertical="center"/>
      <protection hidden="1"/>
    </xf>
    <xf numFmtId="0" fontId="20" fillId="15" borderId="97" xfId="0" applyFont="1" applyFill="1" applyBorder="1" applyAlignment="1" applyProtection="1">
      <alignment horizontal="center" vertical="center"/>
      <protection hidden="1"/>
    </xf>
    <xf numFmtId="0" fontId="13" fillId="3" borderId="92" xfId="0" applyFont="1" applyFill="1" applyBorder="1" applyAlignment="1" applyProtection="1">
      <alignment horizontal="center" vertical="center"/>
      <protection hidden="1"/>
    </xf>
    <xf numFmtId="0" fontId="28" fillId="2" borderId="50" xfId="0" applyFont="1" applyFill="1" applyBorder="1" applyAlignment="1">
      <alignment horizontal="center" vertical="center"/>
    </xf>
    <xf numFmtId="0" fontId="28" fillId="2" borderId="40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/>
    </xf>
    <xf numFmtId="0" fontId="29" fillId="2" borderId="95" xfId="0" applyFont="1" applyFill="1" applyBorder="1" applyAlignment="1" applyProtection="1">
      <alignment horizontal="center" vertical="center"/>
      <protection hidden="1"/>
    </xf>
    <xf numFmtId="0" fontId="29" fillId="2" borderId="94" xfId="0" applyFont="1" applyFill="1" applyBorder="1" applyAlignment="1" applyProtection="1">
      <alignment horizontal="center" vertical="center"/>
      <protection hidden="1"/>
    </xf>
    <xf numFmtId="0" fontId="13" fillId="3" borderId="93" xfId="0" applyFont="1" applyFill="1" applyBorder="1" applyAlignment="1" applyProtection="1">
      <alignment horizontal="center" vertical="center"/>
      <protection hidden="1"/>
    </xf>
    <xf numFmtId="0" fontId="43" fillId="4" borderId="102" xfId="0" applyFont="1" applyFill="1" applyBorder="1" applyAlignment="1" applyProtection="1">
      <alignment horizontal="center" vertical="center"/>
      <protection hidden="1"/>
    </xf>
    <xf numFmtId="0" fontId="17" fillId="10" borderId="88" xfId="0" applyFont="1" applyFill="1" applyBorder="1" applyAlignment="1" applyProtection="1">
      <alignment horizontal="center" vertical="center"/>
      <protection hidden="1"/>
    </xf>
    <xf numFmtId="0" fontId="43" fillId="4" borderId="77" xfId="0" applyFont="1" applyFill="1" applyBorder="1" applyAlignment="1" applyProtection="1">
      <alignment horizontal="center" vertical="center"/>
      <protection hidden="1"/>
    </xf>
    <xf numFmtId="0" fontId="26" fillId="6" borderId="90" xfId="0" applyFont="1" applyFill="1" applyBorder="1" applyAlignment="1" applyProtection="1">
      <alignment horizontal="center" vertical="center"/>
      <protection hidden="1"/>
    </xf>
    <xf numFmtId="0" fontId="17" fillId="10" borderId="89" xfId="0" applyFont="1" applyFill="1" applyBorder="1" applyAlignment="1" applyProtection="1">
      <alignment horizontal="center" vertical="center"/>
      <protection hidden="1"/>
    </xf>
    <xf numFmtId="0" fontId="12" fillId="16" borderId="5" xfId="0" applyFont="1" applyFill="1" applyBorder="1" applyAlignment="1">
      <alignment horizontal="center" vertical="center"/>
    </xf>
    <xf numFmtId="0" fontId="12" fillId="16" borderId="6" xfId="0" applyFont="1" applyFill="1" applyBorder="1" applyAlignment="1">
      <alignment horizontal="center" vertical="center"/>
    </xf>
    <xf numFmtId="0" fontId="12" fillId="16" borderId="7" xfId="0" applyFont="1" applyFill="1" applyBorder="1" applyAlignment="1">
      <alignment horizontal="center" vertical="center"/>
    </xf>
    <xf numFmtId="0" fontId="12" fillId="16" borderId="8" xfId="0" applyFont="1" applyFill="1" applyBorder="1" applyAlignment="1">
      <alignment horizontal="center" vertical="center"/>
    </xf>
    <xf numFmtId="0" fontId="12" fillId="16" borderId="9" xfId="0" applyFont="1" applyFill="1" applyBorder="1" applyAlignment="1">
      <alignment horizontal="center" vertical="center"/>
    </xf>
    <xf numFmtId="0" fontId="12" fillId="16" borderId="10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16" fillId="10" borderId="47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6" fillId="10" borderId="31" xfId="0" applyFont="1" applyFill="1" applyBorder="1" applyAlignment="1">
      <alignment horizontal="center" vertical="center"/>
    </xf>
    <xf numFmtId="0" fontId="25" fillId="6" borderId="48" xfId="0" applyFont="1" applyFill="1" applyBorder="1" applyAlignment="1">
      <alignment horizontal="center" vertical="center"/>
    </xf>
    <xf numFmtId="0" fontId="25" fillId="6" borderId="32" xfId="0" applyFont="1" applyFill="1" applyBorder="1" applyAlignment="1">
      <alignment horizontal="center" vertical="center"/>
    </xf>
    <xf numFmtId="0" fontId="25" fillId="6" borderId="34" xfId="0" applyFont="1" applyFill="1" applyBorder="1" applyAlignment="1">
      <alignment horizontal="center" vertical="center"/>
    </xf>
    <xf numFmtId="0" fontId="15" fillId="3" borderId="49" xfId="0" applyFont="1" applyFill="1" applyBorder="1" applyAlignment="1">
      <alignment horizontal="center" vertical="center"/>
    </xf>
    <xf numFmtId="0" fontId="15" fillId="3" borderId="36" xfId="0" applyFont="1" applyFill="1" applyBorder="1" applyAlignment="1">
      <alignment horizontal="center" vertical="center"/>
    </xf>
    <xf numFmtId="0" fontId="15" fillId="3" borderId="38" xfId="0" applyFont="1" applyFill="1" applyBorder="1" applyAlignment="1">
      <alignment horizontal="center" vertical="center"/>
    </xf>
    <xf numFmtId="0" fontId="22" fillId="7" borderId="46" xfId="0" applyFont="1" applyFill="1" applyBorder="1" applyAlignment="1">
      <alignment horizontal="center" vertical="center"/>
    </xf>
    <xf numFmtId="0" fontId="22" fillId="7" borderId="26" xfId="0" applyFont="1" applyFill="1" applyBorder="1" applyAlignment="1">
      <alignment horizontal="center" vertical="center"/>
    </xf>
    <xf numFmtId="0" fontId="22" fillId="7" borderId="28" xfId="0" applyFont="1" applyFill="1" applyBorder="1" applyAlignment="1">
      <alignment horizontal="center" vertical="center"/>
    </xf>
    <xf numFmtId="0" fontId="35" fillId="19" borderId="19" xfId="0" applyFont="1" applyFill="1" applyBorder="1" applyAlignment="1" applyProtection="1">
      <alignment horizontal="center" vertical="center"/>
      <protection hidden="1"/>
    </xf>
    <xf numFmtId="0" fontId="35" fillId="19" borderId="20" xfId="0" applyFont="1" applyFill="1" applyBorder="1" applyAlignment="1" applyProtection="1">
      <alignment horizontal="center" vertical="center"/>
      <protection hidden="1"/>
    </xf>
    <xf numFmtId="0" fontId="35" fillId="19" borderId="21" xfId="0" applyFont="1" applyFill="1" applyBorder="1" applyAlignment="1" applyProtection="1">
      <alignment horizontal="center" vertical="center"/>
      <protection hidden="1"/>
    </xf>
    <xf numFmtId="0" fontId="36" fillId="17" borderId="22" xfId="0" applyFont="1" applyFill="1" applyBorder="1" applyAlignment="1">
      <alignment horizontal="right" vertical="center" indent="1"/>
    </xf>
    <xf numFmtId="0" fontId="23" fillId="7" borderId="86" xfId="0" applyFont="1" applyFill="1" applyBorder="1" applyAlignment="1" applyProtection="1">
      <alignment horizontal="center" vertical="center"/>
      <protection hidden="1"/>
    </xf>
    <xf numFmtId="0" fontId="42" fillId="4" borderId="70" xfId="0" applyFont="1" applyFill="1" applyBorder="1" applyAlignment="1">
      <alignment horizontal="center" vertical="center"/>
    </xf>
    <xf numFmtId="0" fontId="42" fillId="4" borderId="78" xfId="0" applyFont="1" applyFill="1" applyBorder="1" applyAlignment="1">
      <alignment horizontal="center" vertical="center"/>
    </xf>
    <xf numFmtId="0" fontId="42" fillId="4" borderId="79" xfId="0" applyFont="1" applyFill="1" applyBorder="1" applyAlignment="1">
      <alignment horizontal="center" vertical="center"/>
    </xf>
    <xf numFmtId="0" fontId="36" fillId="17" borderId="23" xfId="0" applyFont="1" applyFill="1" applyBorder="1" applyAlignment="1">
      <alignment horizontal="left" vertical="center" indent="1"/>
    </xf>
    <xf numFmtId="0" fontId="36" fillId="17" borderId="0" xfId="0" applyFont="1" applyFill="1" applyBorder="1" applyAlignment="1">
      <alignment horizontal="left" vertical="center" indent="1"/>
    </xf>
    <xf numFmtId="0" fontId="23" fillId="7" borderId="87" xfId="0" applyFont="1" applyFill="1" applyBorder="1" applyAlignment="1" applyProtection="1">
      <alignment horizontal="center" vertical="center"/>
      <protection hidden="1"/>
    </xf>
    <xf numFmtId="0" fontId="26" fillId="6" borderId="91" xfId="0" applyFont="1" applyFill="1" applyBorder="1" applyAlignment="1" applyProtection="1">
      <alignment horizontal="center" vertical="center"/>
      <protection hidden="1"/>
    </xf>
    <xf numFmtId="0" fontId="23" fillId="7" borderId="86" xfId="0" applyFont="1" applyFill="1" applyBorder="1" applyAlignment="1">
      <alignment horizontal="center" vertical="center"/>
    </xf>
    <xf numFmtId="0" fontId="23" fillId="7" borderId="87" xfId="0" applyFont="1" applyFill="1" applyBorder="1" applyAlignment="1">
      <alignment horizontal="center" vertical="center"/>
    </xf>
    <xf numFmtId="0" fontId="35" fillId="18" borderId="19" xfId="0" applyFont="1" applyFill="1" applyBorder="1" applyAlignment="1" applyProtection="1">
      <alignment horizontal="left" vertical="center" indent="1"/>
      <protection locked="0"/>
    </xf>
    <xf numFmtId="0" fontId="35" fillId="18" borderId="20" xfId="0" applyFont="1" applyFill="1" applyBorder="1" applyAlignment="1" applyProtection="1">
      <alignment horizontal="left" vertical="center" indent="1"/>
      <protection locked="0"/>
    </xf>
    <xf numFmtId="0" fontId="35" fillId="18" borderId="21" xfId="0" applyFont="1" applyFill="1" applyBorder="1" applyAlignment="1" applyProtection="1">
      <alignment horizontal="left" vertical="center" indent="1"/>
      <protection locked="0"/>
    </xf>
    <xf numFmtId="0" fontId="43" fillId="4" borderId="102" xfId="0" applyFont="1" applyFill="1" applyBorder="1" applyAlignment="1">
      <alignment horizontal="center" vertical="center"/>
    </xf>
    <xf numFmtId="0" fontId="10" fillId="17" borderId="2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43" fillId="4" borderId="77" xfId="0" applyFont="1" applyFill="1" applyBorder="1" applyAlignment="1">
      <alignment horizontal="center" vertical="center"/>
    </xf>
    <xf numFmtId="0" fontId="34" fillId="18" borderId="19" xfId="0" applyFont="1" applyFill="1" applyBorder="1" applyAlignment="1" applyProtection="1">
      <alignment horizontal="center" vertical="center"/>
      <protection locked="0"/>
    </xf>
    <xf numFmtId="0" fontId="34" fillId="18" borderId="20" xfId="0" applyFont="1" applyFill="1" applyBorder="1" applyAlignment="1" applyProtection="1">
      <alignment horizontal="center" vertical="center"/>
      <protection locked="0"/>
    </xf>
    <xf numFmtId="0" fontId="34" fillId="18" borderId="21" xfId="0" applyFont="1" applyFill="1" applyBorder="1" applyAlignment="1" applyProtection="1">
      <alignment horizontal="center" vertical="center"/>
      <protection locked="0"/>
    </xf>
    <xf numFmtId="0" fontId="17" fillId="10" borderId="89" xfId="0" applyFont="1" applyFill="1" applyBorder="1" applyAlignment="1">
      <alignment horizontal="center" vertical="center"/>
    </xf>
    <xf numFmtId="0" fontId="17" fillId="10" borderId="88" xfId="0" applyFont="1" applyFill="1" applyBorder="1" applyAlignment="1">
      <alignment horizontal="center" vertical="center"/>
    </xf>
    <xf numFmtId="0" fontId="26" fillId="6" borderId="91" xfId="0" applyFont="1" applyFill="1" applyBorder="1" applyAlignment="1">
      <alignment horizontal="center" vertical="center"/>
    </xf>
    <xf numFmtId="0" fontId="26" fillId="6" borderId="90" xfId="0" applyFont="1" applyFill="1" applyBorder="1" applyAlignment="1">
      <alignment horizontal="center" vertical="center"/>
    </xf>
    <xf numFmtId="0" fontId="13" fillId="3" borderId="92" xfId="0" applyFont="1" applyFill="1" applyBorder="1" applyAlignment="1">
      <alignment horizontal="center" vertical="center"/>
    </xf>
    <xf numFmtId="0" fontId="10" fillId="17" borderId="22" xfId="0" applyFont="1" applyFill="1" applyBorder="1" applyAlignment="1">
      <alignment horizontal="center" vertical="center"/>
    </xf>
    <xf numFmtId="0" fontId="20" fillId="15" borderId="96" xfId="0" applyFont="1" applyFill="1" applyBorder="1" applyAlignment="1">
      <alignment horizontal="center" vertical="center"/>
    </xf>
    <xf numFmtId="0" fontId="20" fillId="15" borderId="97" xfId="0" applyFont="1" applyFill="1" applyBorder="1" applyAlignment="1">
      <alignment horizontal="center" vertical="center"/>
    </xf>
    <xf numFmtId="0" fontId="13" fillId="3" borderId="93" xfId="0" applyFont="1" applyFill="1" applyBorder="1" applyAlignment="1">
      <alignment horizontal="center" vertical="center"/>
    </xf>
    <xf numFmtId="0" fontId="29" fillId="2" borderId="94" xfId="0" applyFont="1" applyFill="1" applyBorder="1" applyAlignment="1">
      <alignment horizontal="center" vertical="center"/>
    </xf>
    <xf numFmtId="0" fontId="29" fillId="2" borderId="95" xfId="0" applyFont="1" applyFill="1" applyBorder="1" applyAlignment="1">
      <alignment horizontal="center" vertical="center"/>
    </xf>
    <xf numFmtId="0" fontId="52" fillId="0" borderId="0" xfId="4" applyFont="1" applyFill="1" applyAlignment="1" applyProtection="1">
      <alignment horizontal="center" vertical="center"/>
      <protection hidden="1"/>
    </xf>
  </cellXfs>
  <cellStyles count="5">
    <cellStyle name="Hypertextové prepojenie" xfId="2" builtinId="8"/>
    <cellStyle name="Normálna" xfId="0" builtinId="0"/>
    <cellStyle name="Normálna 2" xfId="3"/>
    <cellStyle name="Normálna 3" xfId="4"/>
    <cellStyle name="normální 2" xfId="1"/>
  </cellStyles>
  <dxfs count="0"/>
  <tableStyles count="0" defaultTableStyle="TableStyleMedium2" defaultPivotStyle="PivotStyleLight16"/>
  <colors>
    <mruColors>
      <color rgb="FF008000"/>
      <color rgb="FFB7E4B4"/>
      <color rgb="FF3233FF"/>
      <color rgb="FF3333FF"/>
      <color rgb="FF00FF99"/>
      <color rgb="FFFF0000"/>
      <color rgb="FFFF3300"/>
      <color rgb="FFFFCC99"/>
      <color rgb="FFFFFF99"/>
      <color rgb="FF32C8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hyperlink" Target="http://www.rmsoft.sk/en/portfolio/programming-work/utilities/sophisticated-selection-of-cells-in-excel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18" Type="http://schemas.openxmlformats.org/officeDocument/2006/relationships/image" Target="../media/image22.emf"/><Relationship Id="rId26" Type="http://schemas.openxmlformats.org/officeDocument/2006/relationships/image" Target="../media/image1.emf"/><Relationship Id="rId3" Type="http://schemas.openxmlformats.org/officeDocument/2006/relationships/image" Target="../media/image7.emf"/><Relationship Id="rId21" Type="http://schemas.openxmlformats.org/officeDocument/2006/relationships/image" Target="../media/image25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17" Type="http://schemas.openxmlformats.org/officeDocument/2006/relationships/image" Target="../media/image21.emf"/><Relationship Id="rId25" Type="http://schemas.openxmlformats.org/officeDocument/2006/relationships/image" Target="../media/image2.emf"/><Relationship Id="rId2" Type="http://schemas.openxmlformats.org/officeDocument/2006/relationships/image" Target="../media/image6.emf"/><Relationship Id="rId16" Type="http://schemas.openxmlformats.org/officeDocument/2006/relationships/image" Target="../media/image20.emf"/><Relationship Id="rId20" Type="http://schemas.openxmlformats.org/officeDocument/2006/relationships/image" Target="../media/image24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24" Type="http://schemas.openxmlformats.org/officeDocument/2006/relationships/image" Target="../media/image3.emf"/><Relationship Id="rId5" Type="http://schemas.openxmlformats.org/officeDocument/2006/relationships/image" Target="../media/image9.emf"/><Relationship Id="rId15" Type="http://schemas.openxmlformats.org/officeDocument/2006/relationships/image" Target="../media/image19.emf"/><Relationship Id="rId23" Type="http://schemas.openxmlformats.org/officeDocument/2006/relationships/image" Target="../media/image4.emf"/><Relationship Id="rId28" Type="http://schemas.openxmlformats.org/officeDocument/2006/relationships/image" Target="../media/image28.emf"/><Relationship Id="rId10" Type="http://schemas.openxmlformats.org/officeDocument/2006/relationships/image" Target="../media/image14.emf"/><Relationship Id="rId19" Type="http://schemas.openxmlformats.org/officeDocument/2006/relationships/image" Target="../media/image23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Relationship Id="rId22" Type="http://schemas.openxmlformats.org/officeDocument/2006/relationships/image" Target="../media/image26.emf"/><Relationship Id="rId27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46</xdr:row>
          <xdr:rowOff>104775</xdr:rowOff>
        </xdr:from>
        <xdr:to>
          <xdr:col>16</xdr:col>
          <xdr:colOff>247650</xdr:colOff>
          <xdr:row>48</xdr:row>
          <xdr:rowOff>66675</xdr:rowOff>
        </xdr:to>
        <xdr:sp macro="" textlink="">
          <xdr:nvSpPr>
            <xdr:cNvPr id="1025" name="btn_Star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28575</xdr:rowOff>
        </xdr:from>
        <xdr:to>
          <xdr:col>5</xdr:col>
          <xdr:colOff>76200</xdr:colOff>
          <xdr:row>7</xdr:row>
          <xdr:rowOff>0</xdr:rowOff>
        </xdr:to>
        <xdr:sp macro="" textlink="">
          <xdr:nvSpPr>
            <xdr:cNvPr id="1026" name="chbx_T0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19050</xdr:rowOff>
        </xdr:from>
        <xdr:to>
          <xdr:col>5</xdr:col>
          <xdr:colOff>76200</xdr:colOff>
          <xdr:row>8</xdr:row>
          <xdr:rowOff>0</xdr:rowOff>
        </xdr:to>
        <xdr:sp macro="" textlink="">
          <xdr:nvSpPr>
            <xdr:cNvPr id="1027" name="chbx_T0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9525</xdr:rowOff>
        </xdr:from>
        <xdr:to>
          <xdr:col>5</xdr:col>
          <xdr:colOff>76200</xdr:colOff>
          <xdr:row>8</xdr:row>
          <xdr:rowOff>152400</xdr:rowOff>
        </xdr:to>
        <xdr:sp macro="" textlink="">
          <xdr:nvSpPr>
            <xdr:cNvPr id="1028" name="chbx_T0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9525</xdr:rowOff>
        </xdr:from>
        <xdr:to>
          <xdr:col>5</xdr:col>
          <xdr:colOff>76200</xdr:colOff>
          <xdr:row>10</xdr:row>
          <xdr:rowOff>152400</xdr:rowOff>
        </xdr:to>
        <xdr:sp macro="" textlink="">
          <xdr:nvSpPr>
            <xdr:cNvPr id="1029" name="chbx_F0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9525</xdr:rowOff>
        </xdr:from>
        <xdr:to>
          <xdr:col>5</xdr:col>
          <xdr:colOff>76200</xdr:colOff>
          <xdr:row>11</xdr:row>
          <xdr:rowOff>152400</xdr:rowOff>
        </xdr:to>
        <xdr:sp macro="" textlink="">
          <xdr:nvSpPr>
            <xdr:cNvPr id="1030" name="chbx_F0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9525</xdr:rowOff>
        </xdr:from>
        <xdr:to>
          <xdr:col>5</xdr:col>
          <xdr:colOff>76200</xdr:colOff>
          <xdr:row>12</xdr:row>
          <xdr:rowOff>152400</xdr:rowOff>
        </xdr:to>
        <xdr:sp macro="" textlink="">
          <xdr:nvSpPr>
            <xdr:cNvPr id="1031" name="chbx_F0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9525</xdr:rowOff>
        </xdr:from>
        <xdr:to>
          <xdr:col>5</xdr:col>
          <xdr:colOff>76200</xdr:colOff>
          <xdr:row>13</xdr:row>
          <xdr:rowOff>152400</xdr:rowOff>
        </xdr:to>
        <xdr:sp macro="" textlink="">
          <xdr:nvSpPr>
            <xdr:cNvPr id="1032" name="chbx_F04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9525</xdr:rowOff>
        </xdr:from>
        <xdr:to>
          <xdr:col>5</xdr:col>
          <xdr:colOff>76200</xdr:colOff>
          <xdr:row>14</xdr:row>
          <xdr:rowOff>152400</xdr:rowOff>
        </xdr:to>
        <xdr:sp macro="" textlink="">
          <xdr:nvSpPr>
            <xdr:cNvPr id="1033" name="chbx_F05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9525</xdr:rowOff>
        </xdr:from>
        <xdr:to>
          <xdr:col>5</xdr:col>
          <xdr:colOff>76200</xdr:colOff>
          <xdr:row>15</xdr:row>
          <xdr:rowOff>152400</xdr:rowOff>
        </xdr:to>
        <xdr:sp macro="" textlink="">
          <xdr:nvSpPr>
            <xdr:cNvPr id="1034" name="chbx_F0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19050</xdr:rowOff>
        </xdr:from>
        <xdr:to>
          <xdr:col>5</xdr:col>
          <xdr:colOff>76200</xdr:colOff>
          <xdr:row>18</xdr:row>
          <xdr:rowOff>0</xdr:rowOff>
        </xdr:to>
        <xdr:sp macro="" textlink="">
          <xdr:nvSpPr>
            <xdr:cNvPr id="1035" name="chbx_S0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9525</xdr:rowOff>
        </xdr:from>
        <xdr:to>
          <xdr:col>5</xdr:col>
          <xdr:colOff>76200</xdr:colOff>
          <xdr:row>18</xdr:row>
          <xdr:rowOff>152400</xdr:rowOff>
        </xdr:to>
        <xdr:sp macro="" textlink="">
          <xdr:nvSpPr>
            <xdr:cNvPr id="1036" name="chbx_S0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19050</xdr:rowOff>
        </xdr:from>
        <xdr:to>
          <xdr:col>5</xdr:col>
          <xdr:colOff>76200</xdr:colOff>
          <xdr:row>20</xdr:row>
          <xdr:rowOff>0</xdr:rowOff>
        </xdr:to>
        <xdr:sp macro="" textlink="">
          <xdr:nvSpPr>
            <xdr:cNvPr id="1037" name="chbx_S0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9525</xdr:rowOff>
        </xdr:from>
        <xdr:to>
          <xdr:col>5</xdr:col>
          <xdr:colOff>76200</xdr:colOff>
          <xdr:row>20</xdr:row>
          <xdr:rowOff>152400</xdr:rowOff>
        </xdr:to>
        <xdr:sp macro="" textlink="">
          <xdr:nvSpPr>
            <xdr:cNvPr id="1038" name="chbx_S0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9525</xdr:rowOff>
        </xdr:from>
        <xdr:to>
          <xdr:col>5</xdr:col>
          <xdr:colOff>76200</xdr:colOff>
          <xdr:row>22</xdr:row>
          <xdr:rowOff>152400</xdr:rowOff>
        </xdr:to>
        <xdr:sp macro="" textlink="">
          <xdr:nvSpPr>
            <xdr:cNvPr id="1039" name="chbx_S0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9525</xdr:rowOff>
        </xdr:from>
        <xdr:to>
          <xdr:col>5</xdr:col>
          <xdr:colOff>76200</xdr:colOff>
          <xdr:row>23</xdr:row>
          <xdr:rowOff>152400</xdr:rowOff>
        </xdr:to>
        <xdr:sp macro="" textlink="">
          <xdr:nvSpPr>
            <xdr:cNvPr id="1040" name="chbx_S0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9525</xdr:rowOff>
        </xdr:from>
        <xdr:to>
          <xdr:col>5</xdr:col>
          <xdr:colOff>76200</xdr:colOff>
          <xdr:row>24</xdr:row>
          <xdr:rowOff>152400</xdr:rowOff>
        </xdr:to>
        <xdr:sp macro="" textlink="">
          <xdr:nvSpPr>
            <xdr:cNvPr id="1041" name="chbx_S0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9525</xdr:rowOff>
        </xdr:from>
        <xdr:to>
          <xdr:col>5</xdr:col>
          <xdr:colOff>76200</xdr:colOff>
          <xdr:row>25</xdr:row>
          <xdr:rowOff>152400</xdr:rowOff>
        </xdr:to>
        <xdr:sp macro="" textlink="">
          <xdr:nvSpPr>
            <xdr:cNvPr id="1042" name="chbx_S0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9525</xdr:rowOff>
        </xdr:from>
        <xdr:to>
          <xdr:col>5</xdr:col>
          <xdr:colOff>76200</xdr:colOff>
          <xdr:row>27</xdr:row>
          <xdr:rowOff>152400</xdr:rowOff>
        </xdr:to>
        <xdr:sp macro="" textlink="">
          <xdr:nvSpPr>
            <xdr:cNvPr id="1043" name="chbx_I0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9525</xdr:rowOff>
        </xdr:from>
        <xdr:to>
          <xdr:col>5</xdr:col>
          <xdr:colOff>76200</xdr:colOff>
          <xdr:row>28</xdr:row>
          <xdr:rowOff>152400</xdr:rowOff>
        </xdr:to>
        <xdr:sp macro="" textlink="">
          <xdr:nvSpPr>
            <xdr:cNvPr id="1044" name="chbx_I0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19050</xdr:rowOff>
        </xdr:from>
        <xdr:to>
          <xdr:col>5</xdr:col>
          <xdr:colOff>76200</xdr:colOff>
          <xdr:row>30</xdr:row>
          <xdr:rowOff>0</xdr:rowOff>
        </xdr:to>
        <xdr:sp macro="" textlink="">
          <xdr:nvSpPr>
            <xdr:cNvPr id="1045" name="chbx_I03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9525</xdr:rowOff>
        </xdr:from>
        <xdr:to>
          <xdr:col>5</xdr:col>
          <xdr:colOff>76200</xdr:colOff>
          <xdr:row>30</xdr:row>
          <xdr:rowOff>152400</xdr:rowOff>
        </xdr:to>
        <xdr:sp macro="" textlink="">
          <xdr:nvSpPr>
            <xdr:cNvPr id="1046" name="chbx_I04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9525</xdr:rowOff>
        </xdr:from>
        <xdr:to>
          <xdr:col>5</xdr:col>
          <xdr:colOff>76200</xdr:colOff>
          <xdr:row>32</xdr:row>
          <xdr:rowOff>152400</xdr:rowOff>
        </xdr:to>
        <xdr:sp macro="" textlink="">
          <xdr:nvSpPr>
            <xdr:cNvPr id="1047" name="chbx_B0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9525</xdr:rowOff>
        </xdr:from>
        <xdr:to>
          <xdr:col>5</xdr:col>
          <xdr:colOff>76200</xdr:colOff>
          <xdr:row>33</xdr:row>
          <xdr:rowOff>152400</xdr:rowOff>
        </xdr:to>
        <xdr:sp macro="" textlink="">
          <xdr:nvSpPr>
            <xdr:cNvPr id="1048" name="chbx_B02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9525</xdr:rowOff>
        </xdr:from>
        <xdr:to>
          <xdr:col>5</xdr:col>
          <xdr:colOff>76200</xdr:colOff>
          <xdr:row>35</xdr:row>
          <xdr:rowOff>152400</xdr:rowOff>
        </xdr:to>
        <xdr:sp macro="" textlink="">
          <xdr:nvSpPr>
            <xdr:cNvPr id="1049" name="chbx_B03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9525</xdr:rowOff>
        </xdr:from>
        <xdr:to>
          <xdr:col>5</xdr:col>
          <xdr:colOff>76200</xdr:colOff>
          <xdr:row>36</xdr:row>
          <xdr:rowOff>152400</xdr:rowOff>
        </xdr:to>
        <xdr:sp macro="" textlink="">
          <xdr:nvSpPr>
            <xdr:cNvPr id="1050" name="chbx_B04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9525</xdr:rowOff>
        </xdr:from>
        <xdr:to>
          <xdr:col>5</xdr:col>
          <xdr:colOff>76200</xdr:colOff>
          <xdr:row>37</xdr:row>
          <xdr:rowOff>152400</xdr:rowOff>
        </xdr:to>
        <xdr:sp macro="" textlink="">
          <xdr:nvSpPr>
            <xdr:cNvPr id="1051" name="chbx_B05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9525</xdr:rowOff>
        </xdr:from>
        <xdr:to>
          <xdr:col>5</xdr:col>
          <xdr:colOff>76200</xdr:colOff>
          <xdr:row>38</xdr:row>
          <xdr:rowOff>152400</xdr:rowOff>
        </xdr:to>
        <xdr:sp macro="" textlink="">
          <xdr:nvSpPr>
            <xdr:cNvPr id="1052" name="chbx_B06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9525</xdr:rowOff>
        </xdr:from>
        <xdr:to>
          <xdr:col>5</xdr:col>
          <xdr:colOff>76200</xdr:colOff>
          <xdr:row>39</xdr:row>
          <xdr:rowOff>152400</xdr:rowOff>
        </xdr:to>
        <xdr:sp macro="" textlink="">
          <xdr:nvSpPr>
            <xdr:cNvPr id="1053" name="chbx_B07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9525</xdr:rowOff>
        </xdr:from>
        <xdr:to>
          <xdr:col>5</xdr:col>
          <xdr:colOff>76200</xdr:colOff>
          <xdr:row>40</xdr:row>
          <xdr:rowOff>152400</xdr:rowOff>
        </xdr:to>
        <xdr:sp macro="" textlink="">
          <xdr:nvSpPr>
            <xdr:cNvPr id="1054" name="chbx_B08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9525</xdr:rowOff>
        </xdr:from>
        <xdr:to>
          <xdr:col>5</xdr:col>
          <xdr:colOff>76200</xdr:colOff>
          <xdr:row>41</xdr:row>
          <xdr:rowOff>152400</xdr:rowOff>
        </xdr:to>
        <xdr:sp macro="" textlink="">
          <xdr:nvSpPr>
            <xdr:cNvPr id="1055" name="chbx_B09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9525</xdr:rowOff>
        </xdr:from>
        <xdr:to>
          <xdr:col>5</xdr:col>
          <xdr:colOff>76200</xdr:colOff>
          <xdr:row>42</xdr:row>
          <xdr:rowOff>152400</xdr:rowOff>
        </xdr:to>
        <xdr:sp macro="" textlink="">
          <xdr:nvSpPr>
            <xdr:cNvPr id="1056" name="chbx_B10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9525</xdr:rowOff>
        </xdr:from>
        <xdr:to>
          <xdr:col>5</xdr:col>
          <xdr:colOff>76200</xdr:colOff>
          <xdr:row>44</xdr:row>
          <xdr:rowOff>152400</xdr:rowOff>
        </xdr:to>
        <xdr:sp macro="" textlink="">
          <xdr:nvSpPr>
            <xdr:cNvPr id="1057" name="chbx_R01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9525</xdr:rowOff>
        </xdr:from>
        <xdr:to>
          <xdr:col>5</xdr:col>
          <xdr:colOff>76200</xdr:colOff>
          <xdr:row>45</xdr:row>
          <xdr:rowOff>152400</xdr:rowOff>
        </xdr:to>
        <xdr:sp macro="" textlink="">
          <xdr:nvSpPr>
            <xdr:cNvPr id="1058" name="chbx_R02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9525</xdr:rowOff>
        </xdr:from>
        <xdr:to>
          <xdr:col>5</xdr:col>
          <xdr:colOff>76200</xdr:colOff>
          <xdr:row>47</xdr:row>
          <xdr:rowOff>152400</xdr:rowOff>
        </xdr:to>
        <xdr:sp macro="" textlink="">
          <xdr:nvSpPr>
            <xdr:cNvPr id="1059" name="chbx_C01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9525</xdr:rowOff>
        </xdr:from>
        <xdr:to>
          <xdr:col>5</xdr:col>
          <xdr:colOff>76200</xdr:colOff>
          <xdr:row>48</xdr:row>
          <xdr:rowOff>152400</xdr:rowOff>
        </xdr:to>
        <xdr:sp macro="" textlink="">
          <xdr:nvSpPr>
            <xdr:cNvPr id="1060" name="chbx_C0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</xdr:row>
          <xdr:rowOff>28575</xdr:rowOff>
        </xdr:from>
        <xdr:to>
          <xdr:col>4</xdr:col>
          <xdr:colOff>266700</xdr:colOff>
          <xdr:row>4</xdr:row>
          <xdr:rowOff>200025</xdr:rowOff>
        </xdr:to>
        <xdr:sp macro="" textlink="">
          <xdr:nvSpPr>
            <xdr:cNvPr id="1061" name="lab_O_A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4</xdr:row>
          <xdr:rowOff>28575</xdr:rowOff>
        </xdr:from>
        <xdr:to>
          <xdr:col>5</xdr:col>
          <xdr:colOff>276225</xdr:colOff>
          <xdr:row>4</xdr:row>
          <xdr:rowOff>209550</xdr:rowOff>
        </xdr:to>
        <xdr:sp macro="" textlink="">
          <xdr:nvSpPr>
            <xdr:cNvPr id="1062" name="lab_Z_A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5</xdr:row>
          <xdr:rowOff>9525</xdr:rowOff>
        </xdr:from>
        <xdr:to>
          <xdr:col>5</xdr:col>
          <xdr:colOff>314325</xdr:colOff>
          <xdr:row>6</xdr:row>
          <xdr:rowOff>19050</xdr:rowOff>
        </xdr:to>
        <xdr:sp macro="" textlink="">
          <xdr:nvSpPr>
            <xdr:cNvPr id="1063" name="lab_Z_T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9</xdr:row>
          <xdr:rowOff>9525</xdr:rowOff>
        </xdr:from>
        <xdr:to>
          <xdr:col>5</xdr:col>
          <xdr:colOff>314325</xdr:colOff>
          <xdr:row>10</xdr:row>
          <xdr:rowOff>19050</xdr:rowOff>
        </xdr:to>
        <xdr:sp macro="" textlink="">
          <xdr:nvSpPr>
            <xdr:cNvPr id="1064" name="lab_Z_F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9</xdr:row>
          <xdr:rowOff>9525</xdr:rowOff>
        </xdr:from>
        <xdr:to>
          <xdr:col>4</xdr:col>
          <xdr:colOff>257175</xdr:colOff>
          <xdr:row>10</xdr:row>
          <xdr:rowOff>19050</xdr:rowOff>
        </xdr:to>
        <xdr:sp macro="" textlink="">
          <xdr:nvSpPr>
            <xdr:cNvPr id="1065" name="lab_O_F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16</xdr:row>
          <xdr:rowOff>9525</xdr:rowOff>
        </xdr:from>
        <xdr:to>
          <xdr:col>5</xdr:col>
          <xdr:colOff>314325</xdr:colOff>
          <xdr:row>17</xdr:row>
          <xdr:rowOff>19050</xdr:rowOff>
        </xdr:to>
        <xdr:sp macro="" textlink="">
          <xdr:nvSpPr>
            <xdr:cNvPr id="1066" name="lab_Z_S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16</xdr:row>
          <xdr:rowOff>9525</xdr:rowOff>
        </xdr:from>
        <xdr:to>
          <xdr:col>4</xdr:col>
          <xdr:colOff>257175</xdr:colOff>
          <xdr:row>17</xdr:row>
          <xdr:rowOff>19050</xdr:rowOff>
        </xdr:to>
        <xdr:sp macro="" textlink="">
          <xdr:nvSpPr>
            <xdr:cNvPr id="1067" name="lab_O_S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26</xdr:row>
          <xdr:rowOff>9525</xdr:rowOff>
        </xdr:from>
        <xdr:to>
          <xdr:col>5</xdr:col>
          <xdr:colOff>314325</xdr:colOff>
          <xdr:row>27</xdr:row>
          <xdr:rowOff>19050</xdr:rowOff>
        </xdr:to>
        <xdr:sp macro="" textlink="">
          <xdr:nvSpPr>
            <xdr:cNvPr id="1068" name="lab_Z_I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26</xdr:row>
          <xdr:rowOff>9525</xdr:rowOff>
        </xdr:from>
        <xdr:to>
          <xdr:col>4</xdr:col>
          <xdr:colOff>257175</xdr:colOff>
          <xdr:row>27</xdr:row>
          <xdr:rowOff>19050</xdr:rowOff>
        </xdr:to>
        <xdr:sp macro="" textlink="">
          <xdr:nvSpPr>
            <xdr:cNvPr id="1069" name="lab_O_I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31</xdr:row>
          <xdr:rowOff>9525</xdr:rowOff>
        </xdr:from>
        <xdr:to>
          <xdr:col>5</xdr:col>
          <xdr:colOff>314325</xdr:colOff>
          <xdr:row>32</xdr:row>
          <xdr:rowOff>19050</xdr:rowOff>
        </xdr:to>
        <xdr:sp macro="" textlink="">
          <xdr:nvSpPr>
            <xdr:cNvPr id="1070" name="lab_Z_B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31</xdr:row>
          <xdr:rowOff>9525</xdr:rowOff>
        </xdr:from>
        <xdr:to>
          <xdr:col>4</xdr:col>
          <xdr:colOff>257175</xdr:colOff>
          <xdr:row>32</xdr:row>
          <xdr:rowOff>19050</xdr:rowOff>
        </xdr:to>
        <xdr:sp macro="" textlink="">
          <xdr:nvSpPr>
            <xdr:cNvPr id="1071" name="lab_O_B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43</xdr:row>
          <xdr:rowOff>9525</xdr:rowOff>
        </xdr:from>
        <xdr:to>
          <xdr:col>5</xdr:col>
          <xdr:colOff>314325</xdr:colOff>
          <xdr:row>44</xdr:row>
          <xdr:rowOff>19050</xdr:rowOff>
        </xdr:to>
        <xdr:sp macro="" textlink="">
          <xdr:nvSpPr>
            <xdr:cNvPr id="1072" name="lab_Z_R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43</xdr:row>
          <xdr:rowOff>9525</xdr:rowOff>
        </xdr:from>
        <xdr:to>
          <xdr:col>4</xdr:col>
          <xdr:colOff>257175</xdr:colOff>
          <xdr:row>44</xdr:row>
          <xdr:rowOff>19050</xdr:rowOff>
        </xdr:to>
        <xdr:sp macro="" textlink="">
          <xdr:nvSpPr>
            <xdr:cNvPr id="1073" name="lab_O_R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46</xdr:row>
          <xdr:rowOff>9525</xdr:rowOff>
        </xdr:from>
        <xdr:to>
          <xdr:col>5</xdr:col>
          <xdr:colOff>314325</xdr:colOff>
          <xdr:row>47</xdr:row>
          <xdr:rowOff>19050</xdr:rowOff>
        </xdr:to>
        <xdr:sp macro="" textlink="">
          <xdr:nvSpPr>
            <xdr:cNvPr id="1074" name="lab_Z_C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46</xdr:row>
          <xdr:rowOff>9525</xdr:rowOff>
        </xdr:from>
        <xdr:to>
          <xdr:col>4</xdr:col>
          <xdr:colOff>257175</xdr:colOff>
          <xdr:row>47</xdr:row>
          <xdr:rowOff>19050</xdr:rowOff>
        </xdr:to>
        <xdr:sp macro="" textlink="">
          <xdr:nvSpPr>
            <xdr:cNvPr id="1075" name="lab_O_C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20</xdr:row>
          <xdr:rowOff>152400</xdr:rowOff>
        </xdr:from>
        <xdr:to>
          <xdr:col>5</xdr:col>
          <xdr:colOff>314325</xdr:colOff>
          <xdr:row>22</xdr:row>
          <xdr:rowOff>0</xdr:rowOff>
        </xdr:to>
        <xdr:sp macro="" textlink="">
          <xdr:nvSpPr>
            <xdr:cNvPr id="1076" name="lab_Z_S1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33</xdr:row>
          <xdr:rowOff>152400</xdr:rowOff>
        </xdr:from>
        <xdr:to>
          <xdr:col>5</xdr:col>
          <xdr:colOff>314325</xdr:colOff>
          <xdr:row>35</xdr:row>
          <xdr:rowOff>0</xdr:rowOff>
        </xdr:to>
        <xdr:sp macro="" textlink="">
          <xdr:nvSpPr>
            <xdr:cNvPr id="1078" name="lab_Z_B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33</xdr:row>
          <xdr:rowOff>152400</xdr:rowOff>
        </xdr:from>
        <xdr:to>
          <xdr:col>4</xdr:col>
          <xdr:colOff>266700</xdr:colOff>
          <xdr:row>35</xdr:row>
          <xdr:rowOff>0</xdr:rowOff>
        </xdr:to>
        <xdr:sp macro="" textlink="">
          <xdr:nvSpPr>
            <xdr:cNvPr id="1079" name="lab_O_B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41</xdr:row>
          <xdr:rowOff>133350</xdr:rowOff>
        </xdr:from>
        <xdr:to>
          <xdr:col>14</xdr:col>
          <xdr:colOff>76200</xdr:colOff>
          <xdr:row>43</xdr:row>
          <xdr:rowOff>0</xdr:rowOff>
        </xdr:to>
        <xdr:sp macro="" textlink="">
          <xdr:nvSpPr>
            <xdr:cNvPr id="1081" name="lab_AllList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40</xdr:row>
          <xdr:rowOff>133350</xdr:rowOff>
        </xdr:from>
        <xdr:to>
          <xdr:col>11</xdr:col>
          <xdr:colOff>66675</xdr:colOff>
          <xdr:row>41</xdr:row>
          <xdr:rowOff>152400</xdr:rowOff>
        </xdr:to>
        <xdr:sp macro="" textlink="">
          <xdr:nvSpPr>
            <xdr:cNvPr id="1082" name="lab_ShowRan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0</xdr:rowOff>
        </xdr:from>
        <xdr:to>
          <xdr:col>11</xdr:col>
          <xdr:colOff>66675</xdr:colOff>
          <xdr:row>19</xdr:row>
          <xdr:rowOff>19050</xdr:rowOff>
        </xdr:to>
        <xdr:sp macro="" textlink="">
          <xdr:nvSpPr>
            <xdr:cNvPr id="1083" name="lab_ShowCell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19</xdr:row>
          <xdr:rowOff>9525</xdr:rowOff>
        </xdr:from>
        <xdr:to>
          <xdr:col>14</xdr:col>
          <xdr:colOff>209550</xdr:colOff>
          <xdr:row>20</xdr:row>
          <xdr:rowOff>28575</xdr:rowOff>
        </xdr:to>
        <xdr:sp macro="" textlink="">
          <xdr:nvSpPr>
            <xdr:cNvPr id="1084" name="lab_SetSpecif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0</xdr:colOff>
      <xdr:row>49</xdr:row>
      <xdr:rowOff>76200</xdr:rowOff>
    </xdr:from>
    <xdr:to>
      <xdr:col>10</xdr:col>
      <xdr:colOff>47625</xdr:colOff>
      <xdr:row>51</xdr:row>
      <xdr:rowOff>19050</xdr:rowOff>
    </xdr:to>
    <xdr:pic>
      <xdr:nvPicPr>
        <xdr:cNvPr id="2" name="Donate">
          <a:hlinkClick xmlns:r="http://schemas.openxmlformats.org/officeDocument/2006/relationships" r:id="rId1" tooltip="Thanks for support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7839075"/>
          <a:ext cx="704850" cy="200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1</xdr:row>
          <xdr:rowOff>9525</xdr:rowOff>
        </xdr:from>
        <xdr:to>
          <xdr:col>16</xdr:col>
          <xdr:colOff>133350</xdr:colOff>
          <xdr:row>2</xdr:row>
          <xdr:rowOff>38100</xdr:rowOff>
        </xdr:to>
        <xdr:sp macro="" textlink="">
          <xdr:nvSpPr>
            <xdr:cNvPr id="1085" name="lab_LangEnglish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9525</xdr:rowOff>
        </xdr:from>
        <xdr:to>
          <xdr:col>19</xdr:col>
          <xdr:colOff>28575</xdr:colOff>
          <xdr:row>2</xdr:row>
          <xdr:rowOff>38100</xdr:rowOff>
        </xdr:to>
        <xdr:sp macro="" textlink="">
          <xdr:nvSpPr>
            <xdr:cNvPr id="1086" name="lab_LangSlovak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3.xml"/><Relationship Id="rId21" Type="http://schemas.openxmlformats.org/officeDocument/2006/relationships/control" Target="../activeX/activeX8.xml"/><Relationship Id="rId42" Type="http://schemas.openxmlformats.org/officeDocument/2006/relationships/control" Target="../activeX/activeX28.xml"/><Relationship Id="rId47" Type="http://schemas.openxmlformats.org/officeDocument/2006/relationships/control" Target="../activeX/activeX33.xml"/><Relationship Id="rId63" Type="http://schemas.openxmlformats.org/officeDocument/2006/relationships/control" Target="../activeX/activeX45.xml"/><Relationship Id="rId68" Type="http://schemas.openxmlformats.org/officeDocument/2006/relationships/image" Target="../media/image15.emf"/><Relationship Id="rId84" Type="http://schemas.openxmlformats.org/officeDocument/2006/relationships/image" Target="../media/image23.emf"/><Relationship Id="rId89" Type="http://schemas.openxmlformats.org/officeDocument/2006/relationships/control" Target="../activeX/activeX58.xml"/><Relationship Id="rId16" Type="http://schemas.openxmlformats.org/officeDocument/2006/relationships/image" Target="../media/image5.emf"/><Relationship Id="rId11" Type="http://schemas.openxmlformats.org/officeDocument/2006/relationships/control" Target="../activeX/activeX3.xml"/><Relationship Id="rId32" Type="http://schemas.openxmlformats.org/officeDocument/2006/relationships/control" Target="../activeX/activeX19.xml"/><Relationship Id="rId37" Type="http://schemas.openxmlformats.org/officeDocument/2006/relationships/control" Target="../activeX/activeX24.xml"/><Relationship Id="rId53" Type="http://schemas.openxmlformats.org/officeDocument/2006/relationships/control" Target="../activeX/activeX39.xml"/><Relationship Id="rId58" Type="http://schemas.openxmlformats.org/officeDocument/2006/relationships/image" Target="../media/image10.emf"/><Relationship Id="rId74" Type="http://schemas.openxmlformats.org/officeDocument/2006/relationships/image" Target="../media/image18.emf"/><Relationship Id="rId79" Type="http://schemas.openxmlformats.org/officeDocument/2006/relationships/control" Target="../activeX/activeX53.xml"/><Relationship Id="rId5" Type="http://schemas.openxmlformats.org/officeDocument/2006/relationships/drawing" Target="../drawings/drawing1.xml"/><Relationship Id="rId90" Type="http://schemas.openxmlformats.org/officeDocument/2006/relationships/image" Target="../media/image26.emf"/><Relationship Id="rId22" Type="http://schemas.openxmlformats.org/officeDocument/2006/relationships/control" Target="../activeX/activeX9.xml"/><Relationship Id="rId27" Type="http://schemas.openxmlformats.org/officeDocument/2006/relationships/control" Target="../activeX/activeX14.xml"/><Relationship Id="rId43" Type="http://schemas.openxmlformats.org/officeDocument/2006/relationships/control" Target="../activeX/activeX29.xml"/><Relationship Id="rId48" Type="http://schemas.openxmlformats.org/officeDocument/2006/relationships/control" Target="../activeX/activeX34.xml"/><Relationship Id="rId64" Type="http://schemas.openxmlformats.org/officeDocument/2006/relationships/image" Target="../media/image13.emf"/><Relationship Id="rId69" Type="http://schemas.openxmlformats.org/officeDocument/2006/relationships/control" Target="../activeX/activeX48.xml"/><Relationship Id="rId8" Type="http://schemas.openxmlformats.org/officeDocument/2006/relationships/image" Target="../media/image1.emf"/><Relationship Id="rId51" Type="http://schemas.openxmlformats.org/officeDocument/2006/relationships/control" Target="../activeX/activeX37.xml"/><Relationship Id="rId72" Type="http://schemas.openxmlformats.org/officeDocument/2006/relationships/image" Target="../media/image17.emf"/><Relationship Id="rId80" Type="http://schemas.openxmlformats.org/officeDocument/2006/relationships/image" Target="../media/image21.emf"/><Relationship Id="rId85" Type="http://schemas.openxmlformats.org/officeDocument/2006/relationships/control" Target="../activeX/activeX56.xml"/><Relationship Id="rId93" Type="http://schemas.openxmlformats.org/officeDocument/2006/relationships/control" Target="../activeX/activeX60.xml"/><Relationship Id="rId3" Type="http://schemas.openxmlformats.org/officeDocument/2006/relationships/hyperlink" Target="http://www.rmsoft.sk/en/home" TargetMode="Externa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20.xml"/><Relationship Id="rId38" Type="http://schemas.openxmlformats.org/officeDocument/2006/relationships/control" Target="../activeX/activeX25.xml"/><Relationship Id="rId46" Type="http://schemas.openxmlformats.org/officeDocument/2006/relationships/control" Target="../activeX/activeX32.xml"/><Relationship Id="rId59" Type="http://schemas.openxmlformats.org/officeDocument/2006/relationships/control" Target="../activeX/activeX43.xml"/><Relationship Id="rId67" Type="http://schemas.openxmlformats.org/officeDocument/2006/relationships/control" Target="../activeX/activeX47.xml"/><Relationship Id="rId20" Type="http://schemas.openxmlformats.org/officeDocument/2006/relationships/image" Target="../media/image7.emf"/><Relationship Id="rId41" Type="http://schemas.openxmlformats.org/officeDocument/2006/relationships/control" Target="../activeX/activeX27.xml"/><Relationship Id="rId54" Type="http://schemas.openxmlformats.org/officeDocument/2006/relationships/control" Target="../activeX/activeX40.xml"/><Relationship Id="rId62" Type="http://schemas.openxmlformats.org/officeDocument/2006/relationships/image" Target="../media/image12.emf"/><Relationship Id="rId70" Type="http://schemas.openxmlformats.org/officeDocument/2006/relationships/image" Target="../media/image16.emf"/><Relationship Id="rId75" Type="http://schemas.openxmlformats.org/officeDocument/2006/relationships/control" Target="../activeX/activeX51.xml"/><Relationship Id="rId83" Type="http://schemas.openxmlformats.org/officeDocument/2006/relationships/control" Target="../activeX/activeX55.xml"/><Relationship Id="rId88" Type="http://schemas.openxmlformats.org/officeDocument/2006/relationships/image" Target="../media/image25.emf"/><Relationship Id="rId91" Type="http://schemas.openxmlformats.org/officeDocument/2006/relationships/control" Target="../activeX/activeX59.xml"/><Relationship Id="rId1" Type="http://schemas.openxmlformats.org/officeDocument/2006/relationships/hyperlink" Target="http://www.rmsoft.sk/" TargetMode="External"/><Relationship Id="rId6" Type="http://schemas.openxmlformats.org/officeDocument/2006/relationships/vmlDrawing" Target="../drawings/vmlDrawing1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10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23.xml"/><Relationship Id="rId49" Type="http://schemas.openxmlformats.org/officeDocument/2006/relationships/control" Target="../activeX/activeX35.xml"/><Relationship Id="rId57" Type="http://schemas.openxmlformats.org/officeDocument/2006/relationships/control" Target="../activeX/activeX42.xml"/><Relationship Id="rId10" Type="http://schemas.openxmlformats.org/officeDocument/2006/relationships/image" Target="../media/image2.emf"/><Relationship Id="rId31" Type="http://schemas.openxmlformats.org/officeDocument/2006/relationships/control" Target="../activeX/activeX18.xml"/><Relationship Id="rId44" Type="http://schemas.openxmlformats.org/officeDocument/2006/relationships/control" Target="../activeX/activeX30.xml"/><Relationship Id="rId52" Type="http://schemas.openxmlformats.org/officeDocument/2006/relationships/control" Target="../activeX/activeX38.xml"/><Relationship Id="rId60" Type="http://schemas.openxmlformats.org/officeDocument/2006/relationships/image" Target="../media/image11.emf"/><Relationship Id="rId65" Type="http://schemas.openxmlformats.org/officeDocument/2006/relationships/control" Target="../activeX/activeX46.xml"/><Relationship Id="rId73" Type="http://schemas.openxmlformats.org/officeDocument/2006/relationships/control" Target="../activeX/activeX50.xml"/><Relationship Id="rId78" Type="http://schemas.openxmlformats.org/officeDocument/2006/relationships/image" Target="../media/image20.emf"/><Relationship Id="rId81" Type="http://schemas.openxmlformats.org/officeDocument/2006/relationships/control" Target="../activeX/activeX54.xml"/><Relationship Id="rId86" Type="http://schemas.openxmlformats.org/officeDocument/2006/relationships/image" Target="../media/image24.emf"/><Relationship Id="rId94" Type="http://schemas.openxmlformats.org/officeDocument/2006/relationships/image" Target="../media/image28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2.xml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9" Type="http://schemas.openxmlformats.org/officeDocument/2006/relationships/control" Target="../activeX/activeX26.xml"/><Relationship Id="rId34" Type="http://schemas.openxmlformats.org/officeDocument/2006/relationships/control" Target="../activeX/activeX21.xml"/><Relationship Id="rId50" Type="http://schemas.openxmlformats.org/officeDocument/2006/relationships/control" Target="../activeX/activeX36.xml"/><Relationship Id="rId55" Type="http://schemas.openxmlformats.org/officeDocument/2006/relationships/control" Target="../activeX/activeX41.xml"/><Relationship Id="rId76" Type="http://schemas.openxmlformats.org/officeDocument/2006/relationships/image" Target="../media/image19.emf"/><Relationship Id="rId7" Type="http://schemas.openxmlformats.org/officeDocument/2006/relationships/control" Target="../activeX/activeX1.xml"/><Relationship Id="rId71" Type="http://schemas.openxmlformats.org/officeDocument/2006/relationships/control" Target="../activeX/activeX49.xml"/><Relationship Id="rId92" Type="http://schemas.openxmlformats.org/officeDocument/2006/relationships/image" Target="../media/image27.emf"/><Relationship Id="rId2" Type="http://schemas.openxmlformats.org/officeDocument/2006/relationships/hyperlink" Target="http://www.rmsoft.sk/en/portfolio/programming-work/utilities/sophisticated-selection-of-cells-in-excel" TargetMode="External"/><Relationship Id="rId29" Type="http://schemas.openxmlformats.org/officeDocument/2006/relationships/control" Target="../activeX/activeX16.xml"/><Relationship Id="rId24" Type="http://schemas.openxmlformats.org/officeDocument/2006/relationships/control" Target="../activeX/activeX11.xml"/><Relationship Id="rId40" Type="http://schemas.openxmlformats.org/officeDocument/2006/relationships/image" Target="../media/image8.emf"/><Relationship Id="rId45" Type="http://schemas.openxmlformats.org/officeDocument/2006/relationships/control" Target="../activeX/activeX31.xml"/><Relationship Id="rId66" Type="http://schemas.openxmlformats.org/officeDocument/2006/relationships/image" Target="../media/image14.emf"/><Relationship Id="rId87" Type="http://schemas.openxmlformats.org/officeDocument/2006/relationships/control" Target="../activeX/activeX57.xml"/><Relationship Id="rId61" Type="http://schemas.openxmlformats.org/officeDocument/2006/relationships/control" Target="../activeX/activeX44.xml"/><Relationship Id="rId82" Type="http://schemas.openxmlformats.org/officeDocument/2006/relationships/image" Target="../media/image22.emf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30" Type="http://schemas.openxmlformats.org/officeDocument/2006/relationships/control" Target="../activeX/activeX17.xml"/><Relationship Id="rId35" Type="http://schemas.openxmlformats.org/officeDocument/2006/relationships/control" Target="../activeX/activeX22.xml"/><Relationship Id="rId56" Type="http://schemas.openxmlformats.org/officeDocument/2006/relationships/image" Target="../media/image9.emf"/><Relationship Id="rId77" Type="http://schemas.openxmlformats.org/officeDocument/2006/relationships/control" Target="../activeX/activeX5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0_"/>
  <dimension ref="B1:C1"/>
  <sheetViews>
    <sheetView workbookViewId="0"/>
  </sheetViews>
  <sheetFormatPr defaultRowHeight="12.75" x14ac:dyDescent="0.2"/>
  <cols>
    <col min="2" max="3" width="9.140625" customWidth="1"/>
  </cols>
  <sheetData>
    <row r="1" spans="2:3" x14ac:dyDescent="0.2">
      <c r="B1" s="95" t="s">
        <v>79</v>
      </c>
      <c r="C1">
        <v>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_01_">
    <pageSetUpPr fitToPage="1"/>
  </sheetPr>
  <dimension ref="A1:S54"/>
  <sheetViews>
    <sheetView showGridLines="0" tabSelected="1" zoomScaleNormal="100" workbookViewId="0">
      <selection activeCell="N48" sqref="N48"/>
    </sheetView>
  </sheetViews>
  <sheetFormatPr defaultRowHeight="12.75" x14ac:dyDescent="0.2"/>
  <cols>
    <col min="1" max="1" width="1.140625" customWidth="1"/>
    <col min="2" max="2" width="19.42578125" customWidth="1"/>
    <col min="3" max="3" width="19.28515625" customWidth="1"/>
    <col min="4" max="4" width="20" customWidth="1"/>
    <col min="5" max="6" width="6.42578125" customWidth="1"/>
    <col min="7" max="7" width="43" customWidth="1"/>
    <col min="8" max="8" width="1.85546875" customWidth="1"/>
    <col min="9" max="18" width="4" customWidth="1"/>
    <col min="19" max="19" width="1.85546875" customWidth="1"/>
    <col min="20" max="20" width="1.140625" customWidth="1"/>
  </cols>
  <sheetData>
    <row r="1" spans="1:19" ht="7.5" customHeight="1" x14ac:dyDescent="0.2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19" x14ac:dyDescent="0.2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</row>
    <row r="3" spans="1:19" ht="7.5" customHeight="1" thickBot="1" x14ac:dyDescent="0.25">
      <c r="A3" s="97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</row>
    <row r="4" spans="1:19" ht="24.75" customHeight="1" thickTop="1" thickBot="1" x14ac:dyDescent="0.25">
      <c r="A4" s="97"/>
      <c r="B4" s="90" t="s">
        <v>95</v>
      </c>
      <c r="C4" s="188" t="s">
        <v>96</v>
      </c>
      <c r="D4" s="188"/>
      <c r="E4" s="188" t="s">
        <v>97</v>
      </c>
      <c r="F4" s="188"/>
      <c r="G4" s="153" t="s">
        <v>98</v>
      </c>
      <c r="H4" s="197" t="s">
        <v>107</v>
      </c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9"/>
    </row>
    <row r="5" spans="1:19" ht="17.25" customHeight="1" thickBot="1" x14ac:dyDescent="0.25">
      <c r="A5" s="97"/>
      <c r="B5" s="98"/>
      <c r="C5" s="99"/>
      <c r="D5" s="4" t="s">
        <v>167</v>
      </c>
      <c r="E5" s="100"/>
      <c r="F5" s="101"/>
      <c r="G5" s="38" t="s">
        <v>99</v>
      </c>
      <c r="H5" s="200"/>
      <c r="I5" s="201"/>
      <c r="J5" s="201"/>
      <c r="K5" s="201"/>
      <c r="L5" s="201"/>
      <c r="M5" s="201"/>
      <c r="N5" s="201"/>
      <c r="O5" s="201"/>
      <c r="P5" s="201"/>
      <c r="Q5" s="201"/>
      <c r="R5" s="201"/>
      <c r="S5" s="202"/>
    </row>
    <row r="6" spans="1:19" ht="12.75" customHeight="1" x14ac:dyDescent="0.2">
      <c r="A6" s="97"/>
      <c r="B6" s="215" t="s">
        <v>5</v>
      </c>
      <c r="C6" s="29"/>
      <c r="D6" s="29"/>
      <c r="E6" s="102"/>
      <c r="F6" s="103"/>
      <c r="G6" s="62"/>
      <c r="H6" s="203" t="s">
        <v>106</v>
      </c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5"/>
    </row>
    <row r="7" spans="1:19" ht="12.75" customHeight="1" x14ac:dyDescent="0.2">
      <c r="A7" s="97"/>
      <c r="B7" s="216"/>
      <c r="C7" s="19" t="s">
        <v>100</v>
      </c>
      <c r="D7" s="19"/>
      <c r="E7" s="222"/>
      <c r="F7" s="222"/>
      <c r="G7" s="39" t="s">
        <v>103</v>
      </c>
      <c r="H7" s="171" t="s">
        <v>108</v>
      </c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</row>
    <row r="8" spans="1:19" ht="12.75" customHeight="1" x14ac:dyDescent="0.2">
      <c r="A8" s="97"/>
      <c r="B8" s="216"/>
      <c r="C8" s="28" t="s">
        <v>101</v>
      </c>
      <c r="D8" s="28"/>
      <c r="E8" s="222"/>
      <c r="F8" s="222"/>
      <c r="G8" s="39" t="s">
        <v>104</v>
      </c>
      <c r="H8" s="104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6"/>
    </row>
    <row r="9" spans="1:19" ht="12.75" customHeight="1" x14ac:dyDescent="0.2">
      <c r="A9" s="97"/>
      <c r="B9" s="217"/>
      <c r="C9" s="50" t="s">
        <v>102</v>
      </c>
      <c r="D9" s="50"/>
      <c r="E9" s="228"/>
      <c r="F9" s="228"/>
      <c r="G9" s="40" t="s">
        <v>105</v>
      </c>
      <c r="H9" s="104"/>
      <c r="I9" s="178" t="s">
        <v>109</v>
      </c>
      <c r="J9" s="178"/>
      <c r="K9" s="178"/>
      <c r="L9" s="174" t="s">
        <v>284</v>
      </c>
      <c r="M9" s="175"/>
      <c r="N9" s="175"/>
      <c r="O9" s="175"/>
      <c r="P9" s="175"/>
      <c r="Q9" s="175"/>
      <c r="R9" s="176"/>
      <c r="S9" s="106"/>
    </row>
    <row r="10" spans="1:19" ht="12.75" customHeight="1" x14ac:dyDescent="0.2">
      <c r="A10" s="97"/>
      <c r="B10" s="223" t="s">
        <v>123</v>
      </c>
      <c r="C10" s="60"/>
      <c r="D10" s="60"/>
      <c r="E10" s="107"/>
      <c r="F10" s="107"/>
      <c r="G10" s="61"/>
      <c r="H10" s="104"/>
      <c r="I10" s="6"/>
      <c r="J10" s="6"/>
      <c r="K10" s="6"/>
      <c r="L10" s="105"/>
      <c r="M10" s="105"/>
      <c r="N10" s="105"/>
      <c r="O10" s="105"/>
      <c r="P10" s="105"/>
      <c r="Q10" s="105"/>
      <c r="R10" s="105"/>
      <c r="S10" s="106"/>
    </row>
    <row r="11" spans="1:19" ht="12.75" customHeight="1" x14ac:dyDescent="0.2">
      <c r="A11" s="97"/>
      <c r="B11" s="224"/>
      <c r="C11" s="51" t="s">
        <v>129</v>
      </c>
      <c r="D11" s="51"/>
      <c r="E11" s="192"/>
      <c r="F11" s="192"/>
      <c r="G11" s="52" t="s">
        <v>39</v>
      </c>
      <c r="H11" s="104"/>
      <c r="I11" s="178" t="s">
        <v>110</v>
      </c>
      <c r="J11" s="178"/>
      <c r="K11" s="178"/>
      <c r="L11" s="174" t="s">
        <v>94</v>
      </c>
      <c r="M11" s="175"/>
      <c r="N11" s="175"/>
      <c r="O11" s="175"/>
      <c r="P11" s="175"/>
      <c r="Q11" s="175"/>
      <c r="R11" s="176"/>
      <c r="S11" s="106"/>
    </row>
    <row r="12" spans="1:19" ht="12.75" customHeight="1" x14ac:dyDescent="0.2">
      <c r="A12" s="97"/>
      <c r="B12" s="224"/>
      <c r="C12" s="51" t="s">
        <v>130</v>
      </c>
      <c r="D12" s="51"/>
      <c r="E12" s="192"/>
      <c r="F12" s="192"/>
      <c r="G12" s="52" t="s">
        <v>154</v>
      </c>
      <c r="H12" s="104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6"/>
    </row>
    <row r="13" spans="1:19" ht="12.75" customHeight="1" x14ac:dyDescent="0.2">
      <c r="A13" s="97"/>
      <c r="B13" s="224"/>
      <c r="C13" s="51" t="s">
        <v>131</v>
      </c>
      <c r="D13" s="51"/>
      <c r="E13" s="192"/>
      <c r="F13" s="192"/>
      <c r="G13" s="53" t="s">
        <v>41</v>
      </c>
      <c r="H13" s="104"/>
      <c r="I13" s="178" t="s">
        <v>111</v>
      </c>
      <c r="J13" s="178"/>
      <c r="K13" s="178"/>
      <c r="L13" s="178"/>
      <c r="M13" s="178"/>
      <c r="N13" s="178"/>
      <c r="O13" s="221"/>
      <c r="P13" s="218" t="str">
        <f>IF(L11&lt;&gt;"",IF(OR(Q15&lt;&gt;"", Q17&lt;&gt;""),"!  error  !",IF(AND(N15&lt;&gt;"",N17&lt;&gt;""),CONCATENATE(UPPER(N15),N17),IF(N15&lt;&gt;"",CONCATENATE(UPPER(N15),"1"),IF(N17&lt;&gt;"",CONCATENATE("A",N17),"A1")))),"!  sheet  !")</f>
        <v>M22</v>
      </c>
      <c r="Q13" s="219"/>
      <c r="R13" s="220"/>
      <c r="S13" s="106"/>
    </row>
    <row r="14" spans="1:19" ht="12.75" customHeight="1" x14ac:dyDescent="0.2">
      <c r="A14" s="97"/>
      <c r="B14" s="224"/>
      <c r="C14" s="51" t="s">
        <v>132</v>
      </c>
      <c r="D14" s="51"/>
      <c r="E14" s="192"/>
      <c r="F14" s="192"/>
      <c r="G14" s="52" t="s">
        <v>155</v>
      </c>
      <c r="H14" s="104"/>
      <c r="I14" s="105"/>
      <c r="J14" s="105"/>
      <c r="K14" s="108"/>
      <c r="L14" s="105"/>
      <c r="M14" s="105"/>
      <c r="N14" s="105"/>
      <c r="O14" s="108"/>
      <c r="P14" s="108"/>
      <c r="Q14" s="108"/>
      <c r="R14" s="105"/>
      <c r="S14" s="106"/>
    </row>
    <row r="15" spans="1:19" ht="12.75" customHeight="1" x14ac:dyDescent="0.2">
      <c r="A15" s="97"/>
      <c r="B15" s="224"/>
      <c r="C15" s="51" t="s">
        <v>133</v>
      </c>
      <c r="D15" s="51"/>
      <c r="E15" s="192"/>
      <c r="F15" s="192"/>
      <c r="G15" s="52" t="s">
        <v>156</v>
      </c>
      <c r="H15" s="104"/>
      <c r="I15" s="105"/>
      <c r="J15" s="105"/>
      <c r="K15" s="166" t="s">
        <v>112</v>
      </c>
      <c r="L15" s="166"/>
      <c r="M15" s="166"/>
      <c r="N15" s="163" t="s">
        <v>213</v>
      </c>
      <c r="O15" s="164"/>
      <c r="P15" s="165"/>
      <c r="Q15" s="161" t="str">
        <f>IF(_C_Cell_C&lt;&gt;"",IF(ISTEXT(_C_Cell_C),"","text  !"),"")</f>
        <v/>
      </c>
      <c r="R15" s="162"/>
      <c r="S15" s="106"/>
    </row>
    <row r="16" spans="1:19" ht="12.75" customHeight="1" x14ac:dyDescent="0.2">
      <c r="A16" s="97"/>
      <c r="B16" s="225"/>
      <c r="C16" s="54" t="s">
        <v>134</v>
      </c>
      <c r="D16" s="54"/>
      <c r="E16" s="194"/>
      <c r="F16" s="194"/>
      <c r="G16" s="55" t="s">
        <v>157</v>
      </c>
      <c r="H16" s="104"/>
      <c r="I16" s="105"/>
      <c r="J16" s="105"/>
      <c r="K16" s="6"/>
      <c r="L16" s="6"/>
      <c r="M16" s="6"/>
      <c r="N16" s="105"/>
      <c r="O16" s="105"/>
      <c r="P16" s="105"/>
      <c r="Q16" s="105"/>
      <c r="R16" s="105"/>
      <c r="S16" s="106"/>
    </row>
    <row r="17" spans="1:19" ht="12.75" customHeight="1" x14ac:dyDescent="0.2">
      <c r="A17" s="97"/>
      <c r="B17" s="206" t="s">
        <v>124</v>
      </c>
      <c r="C17" s="30"/>
      <c r="D17" s="30"/>
      <c r="E17" s="109"/>
      <c r="F17" s="109"/>
      <c r="G17" s="63"/>
      <c r="H17" s="104"/>
      <c r="I17" s="105"/>
      <c r="J17" s="105"/>
      <c r="K17" s="166" t="s">
        <v>113</v>
      </c>
      <c r="L17" s="166"/>
      <c r="M17" s="166"/>
      <c r="N17" s="163">
        <v>22</v>
      </c>
      <c r="O17" s="164"/>
      <c r="P17" s="165"/>
      <c r="Q17" s="161" t="str">
        <f>IF(_C_Cell_R&lt;&gt;"",IF(ISNUMBER(_C_Cell_R),"","číslo  !"),"")</f>
        <v/>
      </c>
      <c r="R17" s="162"/>
      <c r="S17" s="106"/>
    </row>
    <row r="18" spans="1:19" ht="12.75" customHeight="1" x14ac:dyDescent="0.2">
      <c r="A18" s="97"/>
      <c r="B18" s="207"/>
      <c r="C18" s="16" t="s">
        <v>135</v>
      </c>
      <c r="D18" s="16"/>
      <c r="E18" s="193"/>
      <c r="F18" s="193"/>
      <c r="G18" s="41" t="s">
        <v>158</v>
      </c>
      <c r="H18" s="104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6"/>
    </row>
    <row r="19" spans="1:19" ht="12.75" customHeight="1" x14ac:dyDescent="0.2">
      <c r="A19" s="97"/>
      <c r="B19" s="207"/>
      <c r="C19" s="16" t="s">
        <v>136</v>
      </c>
      <c r="D19" s="16"/>
      <c r="E19" s="193"/>
      <c r="F19" s="193"/>
      <c r="G19" s="41" t="s">
        <v>159</v>
      </c>
      <c r="H19" s="104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06"/>
    </row>
    <row r="20" spans="1:19" ht="12.75" customHeight="1" x14ac:dyDescent="0.2">
      <c r="A20" s="97"/>
      <c r="B20" s="207"/>
      <c r="C20" s="17" t="s">
        <v>137</v>
      </c>
      <c r="D20" s="16"/>
      <c r="E20" s="193"/>
      <c r="F20" s="193"/>
      <c r="G20" s="41" t="s">
        <v>47</v>
      </c>
      <c r="H20" s="104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06"/>
    </row>
    <row r="21" spans="1:19" ht="12.75" customHeight="1" x14ac:dyDescent="0.2">
      <c r="A21" s="97"/>
      <c r="B21" s="207"/>
      <c r="C21" s="16" t="s">
        <v>138</v>
      </c>
      <c r="D21" s="16"/>
      <c r="E21" s="193"/>
      <c r="F21" s="193"/>
      <c r="G21" s="42" t="s">
        <v>160</v>
      </c>
      <c r="H21" s="104"/>
      <c r="I21" s="108"/>
      <c r="J21" s="108"/>
      <c r="K21" s="108"/>
      <c r="L21" s="108"/>
      <c r="M21" s="108"/>
      <c r="N21" s="105"/>
      <c r="O21" s="105"/>
      <c r="P21" s="105"/>
      <c r="Q21" s="105"/>
      <c r="R21" s="105"/>
      <c r="S21" s="106"/>
    </row>
    <row r="22" spans="1:19" ht="12.75" customHeight="1" x14ac:dyDescent="0.2">
      <c r="A22" s="97"/>
      <c r="B22" s="207"/>
      <c r="C22" s="92" t="s">
        <v>139</v>
      </c>
      <c r="D22" s="16"/>
      <c r="E22" s="111"/>
      <c r="F22" s="112"/>
      <c r="G22" s="41"/>
      <c r="H22" s="104"/>
      <c r="I22" s="105"/>
      <c r="J22" s="105"/>
      <c r="K22" s="105"/>
      <c r="L22" s="105"/>
      <c r="M22" s="105"/>
      <c r="N22" s="105"/>
      <c r="O22" s="105"/>
      <c r="P22" s="105"/>
      <c r="Q22" s="105"/>
      <c r="R22" s="108"/>
      <c r="S22" s="37" t="s">
        <v>116</v>
      </c>
    </row>
    <row r="23" spans="1:19" ht="12.75" customHeight="1" x14ac:dyDescent="0.2">
      <c r="A23" s="97"/>
      <c r="B23" s="207"/>
      <c r="C23" s="16"/>
      <c r="D23" s="16" t="s">
        <v>140</v>
      </c>
      <c r="E23" s="193"/>
      <c r="F23" s="193"/>
      <c r="G23" s="41"/>
      <c r="H23" s="168" t="s">
        <v>117</v>
      </c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70"/>
    </row>
    <row r="24" spans="1:19" ht="12.75" customHeight="1" x14ac:dyDescent="0.2">
      <c r="A24" s="97"/>
      <c r="B24" s="207"/>
      <c r="C24" s="16"/>
      <c r="D24" s="16" t="s">
        <v>141</v>
      </c>
      <c r="E24" s="193"/>
      <c r="F24" s="193"/>
      <c r="G24" s="41"/>
      <c r="H24" s="171" t="s">
        <v>118</v>
      </c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3"/>
    </row>
    <row r="25" spans="1:19" ht="12.75" customHeight="1" x14ac:dyDescent="0.2">
      <c r="A25" s="97"/>
      <c r="B25" s="207"/>
      <c r="C25" s="16"/>
      <c r="D25" s="16" t="s">
        <v>142</v>
      </c>
      <c r="E25" s="193"/>
      <c r="F25" s="193"/>
      <c r="G25" s="41"/>
      <c r="H25" s="104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6"/>
    </row>
    <row r="26" spans="1:19" ht="12.75" customHeight="1" x14ac:dyDescent="0.2">
      <c r="A26" s="97"/>
      <c r="B26" s="208"/>
      <c r="C26" s="18" t="s">
        <v>143</v>
      </c>
      <c r="D26" s="18"/>
      <c r="E26" s="196"/>
      <c r="F26" s="196"/>
      <c r="G26" s="43" t="s">
        <v>161</v>
      </c>
      <c r="H26" s="104"/>
      <c r="I26" s="178" t="s">
        <v>109</v>
      </c>
      <c r="J26" s="178"/>
      <c r="K26" s="178"/>
      <c r="L26" s="174" t="s">
        <v>284</v>
      </c>
      <c r="M26" s="175"/>
      <c r="N26" s="175"/>
      <c r="O26" s="175"/>
      <c r="P26" s="175"/>
      <c r="Q26" s="175"/>
      <c r="R26" s="176"/>
      <c r="S26" s="106"/>
    </row>
    <row r="27" spans="1:19" ht="12.75" customHeight="1" x14ac:dyDescent="0.2">
      <c r="A27" s="97"/>
      <c r="B27" s="209" t="s">
        <v>125</v>
      </c>
      <c r="C27" s="31"/>
      <c r="D27" s="31"/>
      <c r="E27" s="113"/>
      <c r="F27" s="113"/>
      <c r="G27" s="64"/>
      <c r="H27" s="104"/>
      <c r="I27" s="6"/>
      <c r="J27" s="6"/>
      <c r="K27" s="6"/>
      <c r="L27" s="105"/>
      <c r="M27" s="105"/>
      <c r="N27" s="105"/>
      <c r="O27" s="105"/>
      <c r="P27" s="105"/>
      <c r="Q27" s="105"/>
      <c r="R27" s="105"/>
      <c r="S27" s="106"/>
    </row>
    <row r="28" spans="1:19" ht="12.75" customHeight="1" x14ac:dyDescent="0.2">
      <c r="A28" s="97"/>
      <c r="B28" s="210"/>
      <c r="C28" s="20" t="s">
        <v>144</v>
      </c>
      <c r="D28" s="20"/>
      <c r="E28" s="195"/>
      <c r="F28" s="195"/>
      <c r="G28" s="44" t="s">
        <v>162</v>
      </c>
      <c r="H28" s="104"/>
      <c r="I28" s="178" t="s">
        <v>110</v>
      </c>
      <c r="J28" s="178"/>
      <c r="K28" s="178"/>
      <c r="L28" s="174" t="s">
        <v>94</v>
      </c>
      <c r="M28" s="175"/>
      <c r="N28" s="175"/>
      <c r="O28" s="175"/>
      <c r="P28" s="175"/>
      <c r="Q28" s="175"/>
      <c r="R28" s="176"/>
      <c r="S28" s="106"/>
    </row>
    <row r="29" spans="1:19" ht="12.75" customHeight="1" x14ac:dyDescent="0.2">
      <c r="A29" s="97"/>
      <c r="B29" s="210"/>
      <c r="C29" s="21" t="s">
        <v>145</v>
      </c>
      <c r="D29" s="21"/>
      <c r="E29" s="195"/>
      <c r="F29" s="195"/>
      <c r="G29" s="44" t="s">
        <v>156</v>
      </c>
      <c r="H29" s="104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6"/>
    </row>
    <row r="30" spans="1:19" ht="12.75" customHeight="1" x14ac:dyDescent="0.2">
      <c r="A30" s="97"/>
      <c r="B30" s="210"/>
      <c r="C30" s="20" t="s">
        <v>146</v>
      </c>
      <c r="D30" s="20"/>
      <c r="E30" s="195"/>
      <c r="F30" s="195"/>
      <c r="G30" s="44"/>
      <c r="H30" s="104"/>
      <c r="I30" s="218" t="str">
        <f>IF(OR(I32&lt;&gt;"", I34&lt;&gt;""),"!  error  !",IF(AND(K32&lt;&gt;"",K34&lt;&gt;""),CONCATENATE(UPPER(K32),K34),IF(K32&lt;&gt;"",CONCATENATE(UPPER(K32),"1"),IF(K34&lt;&gt;"",CONCATENATE("A",K34),IF(L28&lt;&gt;"","A1","!  sheet  !")))))</f>
        <v>A1</v>
      </c>
      <c r="J30" s="219"/>
      <c r="K30" s="220"/>
      <c r="L30" s="226" t="s">
        <v>168</v>
      </c>
      <c r="M30" s="227"/>
      <c r="N30" s="227"/>
      <c r="O30" s="227"/>
      <c r="P30" s="227"/>
      <c r="Q30" s="227"/>
      <c r="R30" s="227"/>
      <c r="S30" s="106"/>
    </row>
    <row r="31" spans="1:19" ht="12.75" customHeight="1" x14ac:dyDescent="0.2">
      <c r="A31" s="97"/>
      <c r="B31" s="211"/>
      <c r="C31" s="83" t="s">
        <v>147</v>
      </c>
      <c r="D31" s="22"/>
      <c r="E31" s="229"/>
      <c r="F31" s="229"/>
      <c r="G31" s="58"/>
      <c r="H31" s="104"/>
      <c r="I31" s="105"/>
      <c r="J31" s="105"/>
      <c r="K31" s="114"/>
      <c r="L31" s="105"/>
      <c r="M31" s="105"/>
      <c r="N31" s="105"/>
      <c r="O31" s="105"/>
      <c r="P31" s="105"/>
      <c r="Q31" s="105"/>
      <c r="R31" s="105"/>
      <c r="S31" s="106"/>
    </row>
    <row r="32" spans="1:19" ht="12.75" customHeight="1" x14ac:dyDescent="0.2">
      <c r="A32" s="97"/>
      <c r="B32" s="212" t="s">
        <v>126</v>
      </c>
      <c r="C32" s="32"/>
      <c r="D32" s="32"/>
      <c r="E32" s="115"/>
      <c r="F32" s="115"/>
      <c r="G32" s="65"/>
      <c r="H32" s="104"/>
      <c r="I32" s="162" t="str">
        <f>IF(_R_Cell_A_C&lt;&gt;"",IF(ISTEXT(_R_Cell_A_C),"","text  !"),"")</f>
        <v/>
      </c>
      <c r="J32" s="167"/>
      <c r="K32" s="163"/>
      <c r="L32" s="164"/>
      <c r="M32" s="165"/>
      <c r="N32" s="177" t="s">
        <v>112</v>
      </c>
      <c r="O32" s="177"/>
      <c r="P32" s="177"/>
      <c r="Q32" s="105"/>
      <c r="R32" s="105"/>
      <c r="S32" s="106"/>
    </row>
    <row r="33" spans="1:19" ht="12.75" customHeight="1" x14ac:dyDescent="0.2">
      <c r="A33" s="97"/>
      <c r="B33" s="213"/>
      <c r="C33" s="23" t="s">
        <v>148</v>
      </c>
      <c r="D33" s="23"/>
      <c r="E33" s="184"/>
      <c r="F33" s="184"/>
      <c r="G33" s="45" t="s">
        <v>163</v>
      </c>
      <c r="H33" s="104"/>
      <c r="I33" s="108"/>
      <c r="J33" s="108"/>
      <c r="K33" s="108"/>
      <c r="L33" s="108"/>
      <c r="M33" s="108"/>
      <c r="N33" s="8"/>
      <c r="O33" s="8"/>
      <c r="P33" s="8"/>
      <c r="Q33" s="108"/>
      <c r="R33" s="108"/>
      <c r="S33" s="106"/>
    </row>
    <row r="34" spans="1:19" ht="12.75" customHeight="1" x14ac:dyDescent="0.2">
      <c r="A34" s="97"/>
      <c r="B34" s="213"/>
      <c r="C34" s="23" t="s">
        <v>149</v>
      </c>
      <c r="D34" s="23"/>
      <c r="E34" s="184"/>
      <c r="F34" s="184"/>
      <c r="G34" s="45" t="s">
        <v>156</v>
      </c>
      <c r="H34" s="104"/>
      <c r="I34" s="162" t="str">
        <f>IF(_R_Cell_A_R&lt;&gt;"",IF(ISNUMBER(_R_Cell_A_R),"","číslo  !"),"")</f>
        <v/>
      </c>
      <c r="J34" s="167"/>
      <c r="K34" s="163"/>
      <c r="L34" s="164"/>
      <c r="M34" s="165"/>
      <c r="N34" s="177" t="s">
        <v>113</v>
      </c>
      <c r="O34" s="177"/>
      <c r="P34" s="177"/>
      <c r="Q34" s="105"/>
      <c r="R34" s="105"/>
      <c r="S34" s="106"/>
    </row>
    <row r="35" spans="1:19" ht="12.75" customHeight="1" x14ac:dyDescent="0.2">
      <c r="A35" s="97"/>
      <c r="B35" s="213"/>
      <c r="C35" s="91" t="s">
        <v>126</v>
      </c>
      <c r="D35" s="23"/>
      <c r="E35" s="116"/>
      <c r="F35" s="117"/>
      <c r="G35" s="45"/>
      <c r="H35" s="104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6"/>
    </row>
    <row r="36" spans="1:19" ht="12.75" customHeight="1" x14ac:dyDescent="0.2">
      <c r="A36" s="97"/>
      <c r="B36" s="213"/>
      <c r="C36" s="23"/>
      <c r="D36" s="23" t="s">
        <v>21</v>
      </c>
      <c r="E36" s="184"/>
      <c r="F36" s="184"/>
      <c r="G36" s="45"/>
      <c r="H36" s="118"/>
      <c r="I36" s="178" t="s">
        <v>169</v>
      </c>
      <c r="J36" s="178"/>
      <c r="K36" s="178"/>
      <c r="L36" s="178"/>
      <c r="M36" s="178"/>
      <c r="N36" s="178"/>
      <c r="O36" s="221"/>
      <c r="P36" s="218" t="str">
        <f>IF(OR(Q38&lt;&gt;"", Q40&lt;&gt;""),"!  error  !",IF(AND(N38&lt;&gt;"",N40&lt;&gt;""),CONCATENATE(UPPER(N38),N40),IF(N38&lt;&gt;"",CONCATENATE(UPPER(N38),"1"),IF(N40&lt;&gt;"",CONCATENATE("A",N40),IF(L28&lt;&gt;"","- end -","!  sheet  !")))))</f>
        <v>- end -</v>
      </c>
      <c r="Q36" s="219"/>
      <c r="R36" s="220"/>
      <c r="S36" s="119"/>
    </row>
    <row r="37" spans="1:19" ht="12.75" customHeight="1" x14ac:dyDescent="0.2">
      <c r="A37" s="97"/>
      <c r="B37" s="213"/>
      <c r="C37" s="23"/>
      <c r="D37" s="23" t="s">
        <v>22</v>
      </c>
      <c r="E37" s="184"/>
      <c r="F37" s="184"/>
      <c r="G37" s="45"/>
      <c r="H37" s="120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6"/>
    </row>
    <row r="38" spans="1:19" ht="12.75" customHeight="1" x14ac:dyDescent="0.2">
      <c r="A38" s="97"/>
      <c r="B38" s="213"/>
      <c r="C38" s="23"/>
      <c r="D38" s="23" t="s">
        <v>23</v>
      </c>
      <c r="E38" s="184"/>
      <c r="F38" s="184"/>
      <c r="G38" s="45"/>
      <c r="H38" s="104"/>
      <c r="I38" s="105"/>
      <c r="J38" s="105"/>
      <c r="K38" s="166" t="s">
        <v>112</v>
      </c>
      <c r="L38" s="166"/>
      <c r="M38" s="166"/>
      <c r="N38" s="163"/>
      <c r="O38" s="164"/>
      <c r="P38" s="165"/>
      <c r="Q38" s="161" t="str">
        <f>IF(AND(_R_Cell_B_C&lt;&gt;"",_R_Cell_B_C&lt;&gt;"_MAX_"),IF(ISTEXT(_R_Cell_B_C),"","text  !"),"")</f>
        <v/>
      </c>
      <c r="R38" s="162"/>
      <c r="S38" s="106"/>
    </row>
    <row r="39" spans="1:19" ht="12.75" customHeight="1" x14ac:dyDescent="0.2">
      <c r="A39" s="97"/>
      <c r="B39" s="213"/>
      <c r="C39" s="23"/>
      <c r="D39" s="23" t="s">
        <v>24</v>
      </c>
      <c r="E39" s="184"/>
      <c r="F39" s="184"/>
      <c r="G39" s="45"/>
      <c r="H39" s="104"/>
      <c r="I39" s="108"/>
      <c r="J39" s="108"/>
      <c r="K39" s="8"/>
      <c r="L39" s="8"/>
      <c r="M39" s="8"/>
      <c r="N39" s="108"/>
      <c r="O39" s="108"/>
      <c r="P39" s="108"/>
      <c r="Q39" s="108"/>
      <c r="R39" s="108"/>
      <c r="S39" s="106"/>
    </row>
    <row r="40" spans="1:19" ht="12.75" customHeight="1" x14ac:dyDescent="0.2">
      <c r="A40" s="97"/>
      <c r="B40" s="213"/>
      <c r="C40" s="23"/>
      <c r="D40" s="23" t="s">
        <v>25</v>
      </c>
      <c r="E40" s="184"/>
      <c r="F40" s="184"/>
      <c r="G40" s="45"/>
      <c r="H40" s="104"/>
      <c r="I40" s="105"/>
      <c r="J40" s="105"/>
      <c r="K40" s="166" t="s">
        <v>113</v>
      </c>
      <c r="L40" s="166"/>
      <c r="M40" s="166"/>
      <c r="N40" s="163"/>
      <c r="O40" s="164"/>
      <c r="P40" s="165"/>
      <c r="Q40" s="161" t="str">
        <f>IF(AND(_R_Cell_B_R&lt;&gt;"",_R_Cell_B_R&lt;&gt;"_MAX_"),IF(ISNUMBER(_R_Cell_B_R),"","číslo  !"),"")</f>
        <v/>
      </c>
      <c r="R40" s="162"/>
      <c r="S40" s="106"/>
    </row>
    <row r="41" spans="1:19" ht="12.75" customHeight="1" x14ac:dyDescent="0.2">
      <c r="A41" s="97"/>
      <c r="B41" s="213"/>
      <c r="C41" s="23"/>
      <c r="D41" s="23" t="s">
        <v>26</v>
      </c>
      <c r="E41" s="184"/>
      <c r="F41" s="184"/>
      <c r="G41" s="45"/>
      <c r="H41" s="104"/>
      <c r="I41" s="108"/>
      <c r="J41" s="108"/>
      <c r="K41" s="108"/>
      <c r="L41" s="108"/>
      <c r="M41" s="108"/>
      <c r="N41" s="108"/>
      <c r="O41" s="108"/>
      <c r="P41" s="108"/>
      <c r="Q41" s="108"/>
      <c r="R41" s="108"/>
      <c r="S41" s="106"/>
    </row>
    <row r="42" spans="1:19" ht="12.75" customHeight="1" x14ac:dyDescent="0.2">
      <c r="A42" s="97"/>
      <c r="B42" s="213"/>
      <c r="C42" s="23"/>
      <c r="D42" s="23" t="s">
        <v>27</v>
      </c>
      <c r="E42" s="184"/>
      <c r="F42" s="184"/>
      <c r="G42" s="45"/>
      <c r="H42" s="104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06"/>
    </row>
    <row r="43" spans="1:19" ht="12.75" customHeight="1" x14ac:dyDescent="0.2">
      <c r="A43" s="97"/>
      <c r="B43" s="214"/>
      <c r="C43" s="24"/>
      <c r="D43" s="24" t="s">
        <v>28</v>
      </c>
      <c r="E43" s="191"/>
      <c r="F43" s="191"/>
      <c r="G43" s="46"/>
      <c r="H43" s="104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06"/>
    </row>
    <row r="44" spans="1:19" ht="12.75" customHeight="1" x14ac:dyDescent="0.2">
      <c r="A44" s="97"/>
      <c r="B44" s="185" t="s">
        <v>127</v>
      </c>
      <c r="C44" s="33"/>
      <c r="D44" s="33"/>
      <c r="E44" s="121"/>
      <c r="F44" s="121"/>
      <c r="G44" s="66"/>
      <c r="H44" s="104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37" t="s">
        <v>119</v>
      </c>
    </row>
    <row r="45" spans="1:19" ht="12.75" customHeight="1" x14ac:dyDescent="0.2">
      <c r="A45" s="97"/>
      <c r="B45" s="186"/>
      <c r="C45" s="25" t="s">
        <v>150</v>
      </c>
      <c r="D45" s="25"/>
      <c r="E45" s="190"/>
      <c r="F45" s="190"/>
      <c r="G45" s="47"/>
      <c r="H45" s="155" t="s">
        <v>120</v>
      </c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7"/>
    </row>
    <row r="46" spans="1:19" ht="12.75" customHeight="1" x14ac:dyDescent="0.2">
      <c r="A46" s="97"/>
      <c r="B46" s="187"/>
      <c r="C46" s="26" t="s">
        <v>151</v>
      </c>
      <c r="D46" s="26"/>
      <c r="E46" s="189"/>
      <c r="F46" s="189"/>
      <c r="G46" s="48"/>
      <c r="H46" s="158" t="s">
        <v>121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60"/>
    </row>
    <row r="47" spans="1:19" ht="12.75" customHeight="1" x14ac:dyDescent="0.2">
      <c r="A47" s="97"/>
      <c r="B47" s="179" t="s">
        <v>128</v>
      </c>
      <c r="C47" s="34"/>
      <c r="D47" s="34"/>
      <c r="E47" s="122"/>
      <c r="F47" s="122"/>
      <c r="G47" s="67"/>
      <c r="H47" s="104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6"/>
    </row>
    <row r="48" spans="1:19" ht="12.75" customHeight="1" x14ac:dyDescent="0.2">
      <c r="A48" s="97"/>
      <c r="B48" s="180"/>
      <c r="C48" s="27" t="s">
        <v>152</v>
      </c>
      <c r="D48" s="27"/>
      <c r="E48" s="182"/>
      <c r="F48" s="182"/>
      <c r="G48" s="49"/>
      <c r="H48" s="104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6"/>
    </row>
    <row r="49" spans="1:19" ht="12.75" customHeight="1" thickBot="1" x14ac:dyDescent="0.25">
      <c r="A49" s="97"/>
      <c r="B49" s="181"/>
      <c r="C49" s="56" t="s">
        <v>153</v>
      </c>
      <c r="D49" s="56"/>
      <c r="E49" s="183"/>
      <c r="F49" s="183"/>
      <c r="G49" s="57"/>
      <c r="H49" s="123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5"/>
    </row>
    <row r="50" spans="1:19" ht="7.5" customHeight="1" thickTop="1" x14ac:dyDescent="0.2">
      <c r="A50" s="97"/>
      <c r="B50" s="97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</row>
    <row r="51" spans="1:19" x14ac:dyDescent="0.2">
      <c r="A51" s="97"/>
      <c r="B51" s="36" t="s">
        <v>91</v>
      </c>
      <c r="C51" s="87" t="s">
        <v>92</v>
      </c>
      <c r="D51" s="59" t="s">
        <v>93</v>
      </c>
      <c r="E51" s="151" t="s">
        <v>286</v>
      </c>
      <c r="F51" s="97"/>
      <c r="G51" s="152" t="s">
        <v>285</v>
      </c>
      <c r="H51" s="97"/>
      <c r="I51" s="97"/>
      <c r="J51" s="97"/>
      <c r="K51" s="97"/>
      <c r="L51" s="97"/>
      <c r="M51" s="97"/>
      <c r="N51" s="84"/>
      <c r="O51" s="154" t="s">
        <v>67</v>
      </c>
      <c r="P51" s="154"/>
      <c r="Q51" s="154"/>
      <c r="R51" s="154"/>
      <c r="S51" s="154"/>
    </row>
    <row r="52" spans="1:19" x14ac:dyDescent="0.2">
      <c r="A52" s="97"/>
      <c r="B52" s="36"/>
      <c r="C52" s="87"/>
      <c r="D52" s="59"/>
      <c r="E52" s="35" t="s">
        <v>287</v>
      </c>
      <c r="F52" s="97"/>
      <c r="G52" s="35"/>
      <c r="H52" s="97"/>
      <c r="I52" s="97"/>
      <c r="J52" s="97"/>
      <c r="K52" s="97"/>
      <c r="L52" s="97"/>
      <c r="M52" s="97"/>
      <c r="N52" s="84"/>
      <c r="O52" s="96"/>
      <c r="P52" s="96"/>
      <c r="Q52" s="96"/>
      <c r="R52" s="96"/>
      <c r="S52" s="96"/>
    </row>
    <row r="53" spans="1:19" x14ac:dyDescent="0.2">
      <c r="A53" s="97"/>
      <c r="B53" s="36"/>
      <c r="C53" s="87"/>
      <c r="D53" s="88" t="s">
        <v>122</v>
      </c>
      <c r="E53" s="89"/>
      <c r="F53" s="108"/>
      <c r="G53" s="108"/>
      <c r="H53" s="126"/>
      <c r="I53" s="126"/>
      <c r="J53" s="126"/>
      <c r="K53" s="97"/>
      <c r="L53" s="97"/>
      <c r="M53" s="97"/>
      <c r="N53" s="84"/>
      <c r="O53" s="96"/>
      <c r="P53" s="96"/>
      <c r="Q53" s="96"/>
      <c r="R53" s="96"/>
      <c r="S53" s="96"/>
    </row>
    <row r="54" spans="1:19" ht="8.25" customHeight="1" x14ac:dyDescent="0.2">
      <c r="A54" s="97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</row>
  </sheetData>
  <sheetProtection algorithmName="SHA-512" hashValue="ODX1KBnYWkaulp2m4ZSVbMtbxi/0Vc0kKWDJMizUqrcEwUCVpft0Gj7sjK2h7eMOHLl1LJGA201L2QMA0tNqvQ==" saltValue="fKf4dl7TFb1u8CkioW5Puw==" spinCount="100000" sheet="1" objects="1" scenarios="1"/>
  <mergeCells count="84">
    <mergeCell ref="B17:B26"/>
    <mergeCell ref="B27:B31"/>
    <mergeCell ref="B32:B43"/>
    <mergeCell ref="B6:B9"/>
    <mergeCell ref="P13:R13"/>
    <mergeCell ref="I13:O13"/>
    <mergeCell ref="E8:F8"/>
    <mergeCell ref="E7:F7"/>
    <mergeCell ref="B10:B16"/>
    <mergeCell ref="I36:O36"/>
    <mergeCell ref="P36:R36"/>
    <mergeCell ref="I30:K30"/>
    <mergeCell ref="L30:R30"/>
    <mergeCell ref="E9:F9"/>
    <mergeCell ref="I11:K11"/>
    <mergeCell ref="E31:F31"/>
    <mergeCell ref="H4:S5"/>
    <mergeCell ref="I9:K9"/>
    <mergeCell ref="E25:F25"/>
    <mergeCell ref="E4:F4"/>
    <mergeCell ref="E21:F21"/>
    <mergeCell ref="E24:F24"/>
    <mergeCell ref="Q17:R17"/>
    <mergeCell ref="K15:M15"/>
    <mergeCell ref="N17:P17"/>
    <mergeCell ref="N15:P15"/>
    <mergeCell ref="H6:S6"/>
    <mergeCell ref="H7:S7"/>
    <mergeCell ref="E23:F23"/>
    <mergeCell ref="E13:F13"/>
    <mergeCell ref="L11:R11"/>
    <mergeCell ref="L9:R9"/>
    <mergeCell ref="E16:F16"/>
    <mergeCell ref="E15:F15"/>
    <mergeCell ref="E14:F14"/>
    <mergeCell ref="K17:M17"/>
    <mergeCell ref="E30:F30"/>
    <mergeCell ref="E29:F29"/>
    <mergeCell ref="E28:F28"/>
    <mergeCell ref="E26:F26"/>
    <mergeCell ref="C4:D4"/>
    <mergeCell ref="E33:F33"/>
    <mergeCell ref="E46:F46"/>
    <mergeCell ref="E45:F45"/>
    <mergeCell ref="E43:F43"/>
    <mergeCell ref="E34:F34"/>
    <mergeCell ref="E39:F39"/>
    <mergeCell ref="E38:F38"/>
    <mergeCell ref="E37:F37"/>
    <mergeCell ref="E36:F36"/>
    <mergeCell ref="E40:F40"/>
    <mergeCell ref="E12:F12"/>
    <mergeCell ref="E11:F11"/>
    <mergeCell ref="E20:F20"/>
    <mergeCell ref="E19:F19"/>
    <mergeCell ref="E18:F18"/>
    <mergeCell ref="B47:B49"/>
    <mergeCell ref="E48:F48"/>
    <mergeCell ref="E49:F49"/>
    <mergeCell ref="E42:F42"/>
    <mergeCell ref="E41:F41"/>
    <mergeCell ref="B44:B46"/>
    <mergeCell ref="I32:J32"/>
    <mergeCell ref="Q15:R15"/>
    <mergeCell ref="I34:J34"/>
    <mergeCell ref="H23:S23"/>
    <mergeCell ref="K38:M38"/>
    <mergeCell ref="H24:S24"/>
    <mergeCell ref="L28:R28"/>
    <mergeCell ref="K32:M32"/>
    <mergeCell ref="N32:P32"/>
    <mergeCell ref="L26:R26"/>
    <mergeCell ref="N38:P38"/>
    <mergeCell ref="I26:K26"/>
    <mergeCell ref="I28:K28"/>
    <mergeCell ref="K34:M34"/>
    <mergeCell ref="N34:P34"/>
    <mergeCell ref="O51:S51"/>
    <mergeCell ref="H45:S45"/>
    <mergeCell ref="H46:S46"/>
    <mergeCell ref="Q38:R38"/>
    <mergeCell ref="N40:P40"/>
    <mergeCell ref="Q40:R40"/>
    <mergeCell ref="K40:M40"/>
  </mergeCells>
  <hyperlinks>
    <hyperlink ref="O51" r:id="rId1"/>
    <hyperlink ref="G51" r:id="rId2" tooltip="Help for Sophisticated selection of cells in Excel"/>
    <hyperlink ref="O51:S51" r:id="rId3" tooltip="http://www.rmSOFT.sk" display="www.rmSOFT.sk"/>
  </hyperlinks>
  <printOptions horizontalCentered="1"/>
  <pageMargins left="0.11811023622047245" right="0.11811023622047245" top="0.23622047244094491" bottom="0.19685039370078741" header="0.15748031496062992" footer="0.11811023622047245"/>
  <pageSetup paperSize="9" scale="85" orientation="landscape" horizontalDpi="300" verticalDpi="300" r:id="rId4"/>
  <drawing r:id="rId5"/>
  <legacyDrawing r:id="rId6"/>
  <controls>
    <mc:AlternateContent xmlns:mc="http://schemas.openxmlformats.org/markup-compatibility/2006">
      <mc:Choice Requires="x14">
        <control shapeId="1084" r:id="rId7" name="lab_SetSpecif">
          <controlPr disabled="1" autoLine="0" r:id="rId8">
            <anchor moveWithCells="1">
              <from>
                <xdr:col>8</xdr:col>
                <xdr:colOff>28575</xdr:colOff>
                <xdr:row>19</xdr:row>
                <xdr:rowOff>9525</xdr:rowOff>
              </from>
              <to>
                <xdr:col>14</xdr:col>
                <xdr:colOff>209550</xdr:colOff>
                <xdr:row>20</xdr:row>
                <xdr:rowOff>28575</xdr:rowOff>
              </to>
            </anchor>
          </controlPr>
        </control>
      </mc:Choice>
      <mc:Fallback>
        <control shapeId="1084" r:id="rId7" name="lab_SetSpecif"/>
      </mc:Fallback>
    </mc:AlternateContent>
    <mc:AlternateContent xmlns:mc="http://schemas.openxmlformats.org/markup-compatibility/2006">
      <mc:Choice Requires="x14">
        <control shapeId="1083" r:id="rId9" name="lab_ShowCell">
          <controlPr autoLine="0" r:id="rId10">
            <anchor moveWithCells="1">
              <from>
                <xdr:col>8</xdr:col>
                <xdr:colOff>28575</xdr:colOff>
                <xdr:row>18</xdr:row>
                <xdr:rowOff>0</xdr:rowOff>
              </from>
              <to>
                <xdr:col>11</xdr:col>
                <xdr:colOff>66675</xdr:colOff>
                <xdr:row>19</xdr:row>
                <xdr:rowOff>19050</xdr:rowOff>
              </to>
            </anchor>
          </controlPr>
        </control>
      </mc:Choice>
      <mc:Fallback>
        <control shapeId="1083" r:id="rId9" name="lab_ShowCell"/>
      </mc:Fallback>
    </mc:AlternateContent>
    <mc:AlternateContent xmlns:mc="http://schemas.openxmlformats.org/markup-compatibility/2006">
      <mc:Choice Requires="x14">
        <control shapeId="1082" r:id="rId11" name="lab_ShowRange">
          <controlPr autoLine="0" r:id="rId12">
            <anchor moveWithCells="1">
              <from>
                <xdr:col>8</xdr:col>
                <xdr:colOff>28575</xdr:colOff>
                <xdr:row>40</xdr:row>
                <xdr:rowOff>133350</xdr:rowOff>
              </from>
              <to>
                <xdr:col>11</xdr:col>
                <xdr:colOff>66675</xdr:colOff>
                <xdr:row>41</xdr:row>
                <xdr:rowOff>152400</xdr:rowOff>
              </to>
            </anchor>
          </controlPr>
        </control>
      </mc:Choice>
      <mc:Fallback>
        <control shapeId="1082" r:id="rId11" name="lab_ShowRange"/>
      </mc:Fallback>
    </mc:AlternateContent>
    <mc:AlternateContent xmlns:mc="http://schemas.openxmlformats.org/markup-compatibility/2006">
      <mc:Choice Requires="x14">
        <control shapeId="1081" r:id="rId13" name="lab_AllList">
          <controlPr autoLine="0" autoPict="0" r:id="rId14">
            <anchor moveWithCells="1">
              <from>
                <xdr:col>8</xdr:col>
                <xdr:colOff>28575</xdr:colOff>
                <xdr:row>41</xdr:row>
                <xdr:rowOff>133350</xdr:rowOff>
              </from>
              <to>
                <xdr:col>14</xdr:col>
                <xdr:colOff>76200</xdr:colOff>
                <xdr:row>43</xdr:row>
                <xdr:rowOff>0</xdr:rowOff>
              </to>
            </anchor>
          </controlPr>
        </control>
      </mc:Choice>
      <mc:Fallback>
        <control shapeId="1081" r:id="rId13" name="lab_AllList"/>
      </mc:Fallback>
    </mc:AlternateContent>
    <mc:AlternateContent xmlns:mc="http://schemas.openxmlformats.org/markup-compatibility/2006">
      <mc:Choice Requires="x14">
        <control shapeId="1025" r:id="rId15" name="btn_Start">
          <controlPr defaultSize="0" disabled="1" autoLine="0" r:id="rId16">
            <anchor moveWithCells="1">
              <from>
                <xdr:col>9</xdr:col>
                <xdr:colOff>19050</xdr:colOff>
                <xdr:row>46</xdr:row>
                <xdr:rowOff>104775</xdr:rowOff>
              </from>
              <to>
                <xdr:col>16</xdr:col>
                <xdr:colOff>247650</xdr:colOff>
                <xdr:row>48</xdr:row>
                <xdr:rowOff>66675</xdr:rowOff>
              </to>
            </anchor>
          </controlPr>
        </control>
      </mc:Choice>
      <mc:Fallback>
        <control shapeId="1025" r:id="rId15" name="btn_Start"/>
      </mc:Fallback>
    </mc:AlternateContent>
    <mc:AlternateContent xmlns:mc="http://schemas.openxmlformats.org/markup-compatibility/2006">
      <mc:Choice Requires="x14">
        <control shapeId="1026" r:id="rId17" name="chbx_T01">
          <controlPr autoFill="0" autoLine="0" r:id="rId18">
            <anchor moveWithCells="1">
              <from>
                <xdr:col>4</xdr:col>
                <xdr:colOff>361950</xdr:colOff>
                <xdr:row>6</xdr:row>
                <xdr:rowOff>28575</xdr:rowOff>
              </from>
              <to>
                <xdr:col>5</xdr:col>
                <xdr:colOff>76200</xdr:colOff>
                <xdr:row>7</xdr:row>
                <xdr:rowOff>0</xdr:rowOff>
              </to>
            </anchor>
          </controlPr>
        </control>
      </mc:Choice>
      <mc:Fallback>
        <control shapeId="1026" r:id="rId17" name="chbx_T01"/>
      </mc:Fallback>
    </mc:AlternateContent>
    <mc:AlternateContent xmlns:mc="http://schemas.openxmlformats.org/markup-compatibility/2006">
      <mc:Choice Requires="x14">
        <control shapeId="1027" r:id="rId19" name="chbx_T02">
          <controlPr autoFill="0" autoLine="0" r:id="rId20">
            <anchor moveWithCells="1">
              <from>
                <xdr:col>4</xdr:col>
                <xdr:colOff>361950</xdr:colOff>
                <xdr:row>7</xdr:row>
                <xdr:rowOff>19050</xdr:rowOff>
              </from>
              <to>
                <xdr:col>5</xdr:col>
                <xdr:colOff>76200</xdr:colOff>
                <xdr:row>8</xdr:row>
                <xdr:rowOff>0</xdr:rowOff>
              </to>
            </anchor>
          </controlPr>
        </control>
      </mc:Choice>
      <mc:Fallback>
        <control shapeId="1027" r:id="rId19" name="chbx_T02"/>
      </mc:Fallback>
    </mc:AlternateContent>
    <mc:AlternateContent xmlns:mc="http://schemas.openxmlformats.org/markup-compatibility/2006">
      <mc:Choice Requires="x14">
        <control shapeId="1028" r:id="rId21" name="chbx_T03">
          <controlPr autoFill="0" autoLine="0" r:id="rId20">
            <anchor moveWithCells="1">
              <from>
                <xdr:col>4</xdr:col>
                <xdr:colOff>361950</xdr:colOff>
                <xdr:row>8</xdr:row>
                <xdr:rowOff>9525</xdr:rowOff>
              </from>
              <to>
                <xdr:col>5</xdr:col>
                <xdr:colOff>76200</xdr:colOff>
                <xdr:row>8</xdr:row>
                <xdr:rowOff>152400</xdr:rowOff>
              </to>
            </anchor>
          </controlPr>
        </control>
      </mc:Choice>
      <mc:Fallback>
        <control shapeId="1028" r:id="rId21" name="chbx_T03"/>
      </mc:Fallback>
    </mc:AlternateContent>
    <mc:AlternateContent xmlns:mc="http://schemas.openxmlformats.org/markup-compatibility/2006">
      <mc:Choice Requires="x14">
        <control shapeId="1029" r:id="rId22" name="chbx_F01">
          <controlPr autoFill="0" autoLine="0" r:id="rId20">
            <anchor moveWithCells="1">
              <from>
                <xdr:col>4</xdr:col>
                <xdr:colOff>361950</xdr:colOff>
                <xdr:row>10</xdr:row>
                <xdr:rowOff>9525</xdr:rowOff>
              </from>
              <to>
                <xdr:col>5</xdr:col>
                <xdr:colOff>76200</xdr:colOff>
                <xdr:row>10</xdr:row>
                <xdr:rowOff>152400</xdr:rowOff>
              </to>
            </anchor>
          </controlPr>
        </control>
      </mc:Choice>
      <mc:Fallback>
        <control shapeId="1029" r:id="rId22" name="chbx_F01"/>
      </mc:Fallback>
    </mc:AlternateContent>
    <mc:AlternateContent xmlns:mc="http://schemas.openxmlformats.org/markup-compatibility/2006">
      <mc:Choice Requires="x14">
        <control shapeId="1030" r:id="rId23" name="chbx_F02">
          <controlPr autoFill="0" autoLine="0" r:id="rId20">
            <anchor moveWithCells="1">
              <from>
                <xdr:col>4</xdr:col>
                <xdr:colOff>361950</xdr:colOff>
                <xdr:row>11</xdr:row>
                <xdr:rowOff>9525</xdr:rowOff>
              </from>
              <to>
                <xdr:col>5</xdr:col>
                <xdr:colOff>76200</xdr:colOff>
                <xdr:row>11</xdr:row>
                <xdr:rowOff>152400</xdr:rowOff>
              </to>
            </anchor>
          </controlPr>
        </control>
      </mc:Choice>
      <mc:Fallback>
        <control shapeId="1030" r:id="rId23" name="chbx_F02"/>
      </mc:Fallback>
    </mc:AlternateContent>
    <mc:AlternateContent xmlns:mc="http://schemas.openxmlformats.org/markup-compatibility/2006">
      <mc:Choice Requires="x14">
        <control shapeId="1031" r:id="rId24" name="chbx_F03">
          <controlPr autoFill="0" autoLine="0" r:id="rId20">
            <anchor moveWithCells="1">
              <from>
                <xdr:col>4</xdr:col>
                <xdr:colOff>361950</xdr:colOff>
                <xdr:row>12</xdr:row>
                <xdr:rowOff>9525</xdr:rowOff>
              </from>
              <to>
                <xdr:col>5</xdr:col>
                <xdr:colOff>76200</xdr:colOff>
                <xdr:row>12</xdr:row>
                <xdr:rowOff>152400</xdr:rowOff>
              </to>
            </anchor>
          </controlPr>
        </control>
      </mc:Choice>
      <mc:Fallback>
        <control shapeId="1031" r:id="rId24" name="chbx_F03"/>
      </mc:Fallback>
    </mc:AlternateContent>
    <mc:AlternateContent xmlns:mc="http://schemas.openxmlformats.org/markup-compatibility/2006">
      <mc:Choice Requires="x14">
        <control shapeId="1032" r:id="rId25" name="chbx_F04">
          <controlPr autoFill="0" autoLine="0" r:id="rId20">
            <anchor moveWithCells="1">
              <from>
                <xdr:col>4</xdr:col>
                <xdr:colOff>361950</xdr:colOff>
                <xdr:row>13</xdr:row>
                <xdr:rowOff>9525</xdr:rowOff>
              </from>
              <to>
                <xdr:col>5</xdr:col>
                <xdr:colOff>76200</xdr:colOff>
                <xdr:row>13</xdr:row>
                <xdr:rowOff>152400</xdr:rowOff>
              </to>
            </anchor>
          </controlPr>
        </control>
      </mc:Choice>
      <mc:Fallback>
        <control shapeId="1032" r:id="rId25" name="chbx_F04"/>
      </mc:Fallback>
    </mc:AlternateContent>
    <mc:AlternateContent xmlns:mc="http://schemas.openxmlformats.org/markup-compatibility/2006">
      <mc:Choice Requires="x14">
        <control shapeId="1033" r:id="rId26" name="chbx_F05">
          <controlPr autoFill="0" autoLine="0" r:id="rId20">
            <anchor moveWithCells="1">
              <from>
                <xdr:col>4</xdr:col>
                <xdr:colOff>361950</xdr:colOff>
                <xdr:row>14</xdr:row>
                <xdr:rowOff>9525</xdr:rowOff>
              </from>
              <to>
                <xdr:col>5</xdr:col>
                <xdr:colOff>76200</xdr:colOff>
                <xdr:row>14</xdr:row>
                <xdr:rowOff>152400</xdr:rowOff>
              </to>
            </anchor>
          </controlPr>
        </control>
      </mc:Choice>
      <mc:Fallback>
        <control shapeId="1033" r:id="rId26" name="chbx_F05"/>
      </mc:Fallback>
    </mc:AlternateContent>
    <mc:AlternateContent xmlns:mc="http://schemas.openxmlformats.org/markup-compatibility/2006">
      <mc:Choice Requires="x14">
        <control shapeId="1034" r:id="rId27" name="chbx_F06">
          <controlPr autoFill="0" autoLine="0" r:id="rId20">
            <anchor moveWithCells="1">
              <from>
                <xdr:col>4</xdr:col>
                <xdr:colOff>361950</xdr:colOff>
                <xdr:row>15</xdr:row>
                <xdr:rowOff>9525</xdr:rowOff>
              </from>
              <to>
                <xdr:col>5</xdr:col>
                <xdr:colOff>76200</xdr:colOff>
                <xdr:row>15</xdr:row>
                <xdr:rowOff>152400</xdr:rowOff>
              </to>
            </anchor>
          </controlPr>
        </control>
      </mc:Choice>
      <mc:Fallback>
        <control shapeId="1034" r:id="rId27" name="chbx_F06"/>
      </mc:Fallback>
    </mc:AlternateContent>
    <mc:AlternateContent xmlns:mc="http://schemas.openxmlformats.org/markup-compatibility/2006">
      <mc:Choice Requires="x14">
        <control shapeId="1035" r:id="rId28" name="chbx_S01">
          <controlPr autoFill="0" autoLine="0" r:id="rId20">
            <anchor moveWithCells="1">
              <from>
                <xdr:col>4</xdr:col>
                <xdr:colOff>361950</xdr:colOff>
                <xdr:row>17</xdr:row>
                <xdr:rowOff>19050</xdr:rowOff>
              </from>
              <to>
                <xdr:col>5</xdr:col>
                <xdr:colOff>76200</xdr:colOff>
                <xdr:row>18</xdr:row>
                <xdr:rowOff>0</xdr:rowOff>
              </to>
            </anchor>
          </controlPr>
        </control>
      </mc:Choice>
      <mc:Fallback>
        <control shapeId="1035" r:id="rId28" name="chbx_S01"/>
      </mc:Fallback>
    </mc:AlternateContent>
    <mc:AlternateContent xmlns:mc="http://schemas.openxmlformats.org/markup-compatibility/2006">
      <mc:Choice Requires="x14">
        <control shapeId="1036" r:id="rId29" name="chbx_S02">
          <controlPr autoFill="0" autoLine="0" r:id="rId20">
            <anchor moveWithCells="1">
              <from>
                <xdr:col>4</xdr:col>
                <xdr:colOff>361950</xdr:colOff>
                <xdr:row>18</xdr:row>
                <xdr:rowOff>9525</xdr:rowOff>
              </from>
              <to>
                <xdr:col>5</xdr:col>
                <xdr:colOff>76200</xdr:colOff>
                <xdr:row>18</xdr:row>
                <xdr:rowOff>152400</xdr:rowOff>
              </to>
            </anchor>
          </controlPr>
        </control>
      </mc:Choice>
      <mc:Fallback>
        <control shapeId="1036" r:id="rId29" name="chbx_S02"/>
      </mc:Fallback>
    </mc:AlternateContent>
    <mc:AlternateContent xmlns:mc="http://schemas.openxmlformats.org/markup-compatibility/2006">
      <mc:Choice Requires="x14">
        <control shapeId="1037" r:id="rId30" name="chbx_S03">
          <controlPr autoFill="0" autoLine="0" r:id="rId20">
            <anchor moveWithCells="1">
              <from>
                <xdr:col>4</xdr:col>
                <xdr:colOff>361950</xdr:colOff>
                <xdr:row>19</xdr:row>
                <xdr:rowOff>19050</xdr:rowOff>
              </from>
              <to>
                <xdr:col>5</xdr:col>
                <xdr:colOff>76200</xdr:colOff>
                <xdr:row>20</xdr:row>
                <xdr:rowOff>0</xdr:rowOff>
              </to>
            </anchor>
          </controlPr>
        </control>
      </mc:Choice>
      <mc:Fallback>
        <control shapeId="1037" r:id="rId30" name="chbx_S03"/>
      </mc:Fallback>
    </mc:AlternateContent>
    <mc:AlternateContent xmlns:mc="http://schemas.openxmlformats.org/markup-compatibility/2006">
      <mc:Choice Requires="x14">
        <control shapeId="1038" r:id="rId31" name="chbx_S04">
          <controlPr autoFill="0" autoLine="0" r:id="rId20">
            <anchor moveWithCells="1">
              <from>
                <xdr:col>4</xdr:col>
                <xdr:colOff>361950</xdr:colOff>
                <xdr:row>20</xdr:row>
                <xdr:rowOff>9525</xdr:rowOff>
              </from>
              <to>
                <xdr:col>5</xdr:col>
                <xdr:colOff>76200</xdr:colOff>
                <xdr:row>20</xdr:row>
                <xdr:rowOff>152400</xdr:rowOff>
              </to>
            </anchor>
          </controlPr>
        </control>
      </mc:Choice>
      <mc:Fallback>
        <control shapeId="1038" r:id="rId31" name="chbx_S04"/>
      </mc:Fallback>
    </mc:AlternateContent>
    <mc:AlternateContent xmlns:mc="http://schemas.openxmlformats.org/markup-compatibility/2006">
      <mc:Choice Requires="x14">
        <control shapeId="1039" r:id="rId32" name="chbx_S05">
          <controlPr autoFill="0" autoLine="0" r:id="rId20">
            <anchor moveWithCells="1">
              <from>
                <xdr:col>4</xdr:col>
                <xdr:colOff>361950</xdr:colOff>
                <xdr:row>22</xdr:row>
                <xdr:rowOff>9525</xdr:rowOff>
              </from>
              <to>
                <xdr:col>5</xdr:col>
                <xdr:colOff>76200</xdr:colOff>
                <xdr:row>22</xdr:row>
                <xdr:rowOff>152400</xdr:rowOff>
              </to>
            </anchor>
          </controlPr>
        </control>
      </mc:Choice>
      <mc:Fallback>
        <control shapeId="1039" r:id="rId32" name="chbx_S05"/>
      </mc:Fallback>
    </mc:AlternateContent>
    <mc:AlternateContent xmlns:mc="http://schemas.openxmlformats.org/markup-compatibility/2006">
      <mc:Choice Requires="x14">
        <control shapeId="1040" r:id="rId33" name="chbx_S06">
          <controlPr autoFill="0" autoLine="0" r:id="rId20">
            <anchor moveWithCells="1">
              <from>
                <xdr:col>4</xdr:col>
                <xdr:colOff>361950</xdr:colOff>
                <xdr:row>23</xdr:row>
                <xdr:rowOff>9525</xdr:rowOff>
              </from>
              <to>
                <xdr:col>5</xdr:col>
                <xdr:colOff>76200</xdr:colOff>
                <xdr:row>23</xdr:row>
                <xdr:rowOff>152400</xdr:rowOff>
              </to>
            </anchor>
          </controlPr>
        </control>
      </mc:Choice>
      <mc:Fallback>
        <control shapeId="1040" r:id="rId33" name="chbx_S06"/>
      </mc:Fallback>
    </mc:AlternateContent>
    <mc:AlternateContent xmlns:mc="http://schemas.openxmlformats.org/markup-compatibility/2006">
      <mc:Choice Requires="x14">
        <control shapeId="1041" r:id="rId34" name="chbx_S07">
          <controlPr autoFill="0" autoLine="0" r:id="rId20">
            <anchor moveWithCells="1">
              <from>
                <xdr:col>4</xdr:col>
                <xdr:colOff>361950</xdr:colOff>
                <xdr:row>24</xdr:row>
                <xdr:rowOff>9525</xdr:rowOff>
              </from>
              <to>
                <xdr:col>5</xdr:col>
                <xdr:colOff>76200</xdr:colOff>
                <xdr:row>24</xdr:row>
                <xdr:rowOff>152400</xdr:rowOff>
              </to>
            </anchor>
          </controlPr>
        </control>
      </mc:Choice>
      <mc:Fallback>
        <control shapeId="1041" r:id="rId34" name="chbx_S07"/>
      </mc:Fallback>
    </mc:AlternateContent>
    <mc:AlternateContent xmlns:mc="http://schemas.openxmlformats.org/markup-compatibility/2006">
      <mc:Choice Requires="x14">
        <control shapeId="1042" r:id="rId35" name="chbx_S08">
          <controlPr autoFill="0" autoLine="0" r:id="rId20">
            <anchor moveWithCells="1">
              <from>
                <xdr:col>4</xdr:col>
                <xdr:colOff>361950</xdr:colOff>
                <xdr:row>25</xdr:row>
                <xdr:rowOff>9525</xdr:rowOff>
              </from>
              <to>
                <xdr:col>5</xdr:col>
                <xdr:colOff>76200</xdr:colOff>
                <xdr:row>25</xdr:row>
                <xdr:rowOff>152400</xdr:rowOff>
              </to>
            </anchor>
          </controlPr>
        </control>
      </mc:Choice>
      <mc:Fallback>
        <control shapeId="1042" r:id="rId35" name="chbx_S08"/>
      </mc:Fallback>
    </mc:AlternateContent>
    <mc:AlternateContent xmlns:mc="http://schemas.openxmlformats.org/markup-compatibility/2006">
      <mc:Choice Requires="x14">
        <control shapeId="1043" r:id="rId36" name="chbx_I01">
          <controlPr autoFill="0" autoLine="0" r:id="rId20">
            <anchor moveWithCells="1">
              <from>
                <xdr:col>4</xdr:col>
                <xdr:colOff>361950</xdr:colOff>
                <xdr:row>27</xdr:row>
                <xdr:rowOff>9525</xdr:rowOff>
              </from>
              <to>
                <xdr:col>5</xdr:col>
                <xdr:colOff>76200</xdr:colOff>
                <xdr:row>27</xdr:row>
                <xdr:rowOff>152400</xdr:rowOff>
              </to>
            </anchor>
          </controlPr>
        </control>
      </mc:Choice>
      <mc:Fallback>
        <control shapeId="1043" r:id="rId36" name="chbx_I01"/>
      </mc:Fallback>
    </mc:AlternateContent>
    <mc:AlternateContent xmlns:mc="http://schemas.openxmlformats.org/markup-compatibility/2006">
      <mc:Choice Requires="x14">
        <control shapeId="1044" r:id="rId37" name="chbx_I02">
          <controlPr autoFill="0" autoLine="0" r:id="rId20">
            <anchor moveWithCells="1">
              <from>
                <xdr:col>4</xdr:col>
                <xdr:colOff>361950</xdr:colOff>
                <xdr:row>28</xdr:row>
                <xdr:rowOff>9525</xdr:rowOff>
              </from>
              <to>
                <xdr:col>5</xdr:col>
                <xdr:colOff>76200</xdr:colOff>
                <xdr:row>28</xdr:row>
                <xdr:rowOff>152400</xdr:rowOff>
              </to>
            </anchor>
          </controlPr>
        </control>
      </mc:Choice>
      <mc:Fallback>
        <control shapeId="1044" r:id="rId37" name="chbx_I02"/>
      </mc:Fallback>
    </mc:AlternateContent>
    <mc:AlternateContent xmlns:mc="http://schemas.openxmlformats.org/markup-compatibility/2006">
      <mc:Choice Requires="x14">
        <control shapeId="1045" r:id="rId38" name="chbx_I03">
          <controlPr autoFill="0" autoLine="0" r:id="rId20">
            <anchor moveWithCells="1">
              <from>
                <xdr:col>4</xdr:col>
                <xdr:colOff>361950</xdr:colOff>
                <xdr:row>29</xdr:row>
                <xdr:rowOff>19050</xdr:rowOff>
              </from>
              <to>
                <xdr:col>5</xdr:col>
                <xdr:colOff>76200</xdr:colOff>
                <xdr:row>30</xdr:row>
                <xdr:rowOff>0</xdr:rowOff>
              </to>
            </anchor>
          </controlPr>
        </control>
      </mc:Choice>
      <mc:Fallback>
        <control shapeId="1045" r:id="rId38" name="chbx_I03"/>
      </mc:Fallback>
    </mc:AlternateContent>
    <mc:AlternateContent xmlns:mc="http://schemas.openxmlformats.org/markup-compatibility/2006">
      <mc:Choice Requires="x14">
        <control shapeId="1046" r:id="rId39" name="chbx_I04">
          <controlPr disabled="1" autoFill="0" autoLine="0" r:id="rId40">
            <anchor moveWithCells="1">
              <from>
                <xdr:col>4</xdr:col>
                <xdr:colOff>361950</xdr:colOff>
                <xdr:row>30</xdr:row>
                <xdr:rowOff>9525</xdr:rowOff>
              </from>
              <to>
                <xdr:col>5</xdr:col>
                <xdr:colOff>76200</xdr:colOff>
                <xdr:row>30</xdr:row>
                <xdr:rowOff>152400</xdr:rowOff>
              </to>
            </anchor>
          </controlPr>
        </control>
      </mc:Choice>
      <mc:Fallback>
        <control shapeId="1046" r:id="rId39" name="chbx_I04"/>
      </mc:Fallback>
    </mc:AlternateContent>
    <mc:AlternateContent xmlns:mc="http://schemas.openxmlformats.org/markup-compatibility/2006">
      <mc:Choice Requires="x14">
        <control shapeId="1047" r:id="rId41" name="chbx_B01">
          <controlPr autoFill="0" autoLine="0" r:id="rId20">
            <anchor moveWithCells="1">
              <from>
                <xdr:col>4</xdr:col>
                <xdr:colOff>361950</xdr:colOff>
                <xdr:row>32</xdr:row>
                <xdr:rowOff>9525</xdr:rowOff>
              </from>
              <to>
                <xdr:col>5</xdr:col>
                <xdr:colOff>76200</xdr:colOff>
                <xdr:row>32</xdr:row>
                <xdr:rowOff>152400</xdr:rowOff>
              </to>
            </anchor>
          </controlPr>
        </control>
      </mc:Choice>
      <mc:Fallback>
        <control shapeId="1047" r:id="rId41" name="chbx_B01"/>
      </mc:Fallback>
    </mc:AlternateContent>
    <mc:AlternateContent xmlns:mc="http://schemas.openxmlformats.org/markup-compatibility/2006">
      <mc:Choice Requires="x14">
        <control shapeId="1048" r:id="rId42" name="chbx_B02">
          <controlPr autoFill="0" autoLine="0" r:id="rId20">
            <anchor moveWithCells="1">
              <from>
                <xdr:col>4</xdr:col>
                <xdr:colOff>361950</xdr:colOff>
                <xdr:row>33</xdr:row>
                <xdr:rowOff>9525</xdr:rowOff>
              </from>
              <to>
                <xdr:col>5</xdr:col>
                <xdr:colOff>76200</xdr:colOff>
                <xdr:row>33</xdr:row>
                <xdr:rowOff>152400</xdr:rowOff>
              </to>
            </anchor>
          </controlPr>
        </control>
      </mc:Choice>
      <mc:Fallback>
        <control shapeId="1048" r:id="rId42" name="chbx_B02"/>
      </mc:Fallback>
    </mc:AlternateContent>
    <mc:AlternateContent xmlns:mc="http://schemas.openxmlformats.org/markup-compatibility/2006">
      <mc:Choice Requires="x14">
        <control shapeId="1049" r:id="rId43" name="chbx_B03">
          <controlPr autoFill="0" autoLine="0" r:id="rId20">
            <anchor moveWithCells="1">
              <from>
                <xdr:col>4</xdr:col>
                <xdr:colOff>361950</xdr:colOff>
                <xdr:row>35</xdr:row>
                <xdr:rowOff>9525</xdr:rowOff>
              </from>
              <to>
                <xdr:col>5</xdr:col>
                <xdr:colOff>76200</xdr:colOff>
                <xdr:row>35</xdr:row>
                <xdr:rowOff>152400</xdr:rowOff>
              </to>
            </anchor>
          </controlPr>
        </control>
      </mc:Choice>
      <mc:Fallback>
        <control shapeId="1049" r:id="rId43" name="chbx_B03"/>
      </mc:Fallback>
    </mc:AlternateContent>
    <mc:AlternateContent xmlns:mc="http://schemas.openxmlformats.org/markup-compatibility/2006">
      <mc:Choice Requires="x14">
        <control shapeId="1050" r:id="rId44" name="chbx_B04">
          <controlPr autoFill="0" autoLine="0" r:id="rId20">
            <anchor moveWithCells="1">
              <from>
                <xdr:col>4</xdr:col>
                <xdr:colOff>361950</xdr:colOff>
                <xdr:row>36</xdr:row>
                <xdr:rowOff>9525</xdr:rowOff>
              </from>
              <to>
                <xdr:col>5</xdr:col>
                <xdr:colOff>76200</xdr:colOff>
                <xdr:row>36</xdr:row>
                <xdr:rowOff>152400</xdr:rowOff>
              </to>
            </anchor>
          </controlPr>
        </control>
      </mc:Choice>
      <mc:Fallback>
        <control shapeId="1050" r:id="rId44" name="chbx_B04"/>
      </mc:Fallback>
    </mc:AlternateContent>
    <mc:AlternateContent xmlns:mc="http://schemas.openxmlformats.org/markup-compatibility/2006">
      <mc:Choice Requires="x14">
        <control shapeId="1051" r:id="rId45" name="chbx_B05">
          <controlPr autoFill="0" autoLine="0" r:id="rId20">
            <anchor moveWithCells="1">
              <from>
                <xdr:col>4</xdr:col>
                <xdr:colOff>361950</xdr:colOff>
                <xdr:row>37</xdr:row>
                <xdr:rowOff>9525</xdr:rowOff>
              </from>
              <to>
                <xdr:col>5</xdr:col>
                <xdr:colOff>76200</xdr:colOff>
                <xdr:row>37</xdr:row>
                <xdr:rowOff>152400</xdr:rowOff>
              </to>
            </anchor>
          </controlPr>
        </control>
      </mc:Choice>
      <mc:Fallback>
        <control shapeId="1051" r:id="rId45" name="chbx_B05"/>
      </mc:Fallback>
    </mc:AlternateContent>
    <mc:AlternateContent xmlns:mc="http://schemas.openxmlformats.org/markup-compatibility/2006">
      <mc:Choice Requires="x14">
        <control shapeId="1052" r:id="rId46" name="chbx_B06">
          <controlPr autoFill="0" autoLine="0" r:id="rId20">
            <anchor moveWithCells="1">
              <from>
                <xdr:col>4</xdr:col>
                <xdr:colOff>361950</xdr:colOff>
                <xdr:row>38</xdr:row>
                <xdr:rowOff>9525</xdr:rowOff>
              </from>
              <to>
                <xdr:col>5</xdr:col>
                <xdr:colOff>76200</xdr:colOff>
                <xdr:row>38</xdr:row>
                <xdr:rowOff>152400</xdr:rowOff>
              </to>
            </anchor>
          </controlPr>
        </control>
      </mc:Choice>
      <mc:Fallback>
        <control shapeId="1052" r:id="rId46" name="chbx_B06"/>
      </mc:Fallback>
    </mc:AlternateContent>
    <mc:AlternateContent xmlns:mc="http://schemas.openxmlformats.org/markup-compatibility/2006">
      <mc:Choice Requires="x14">
        <control shapeId="1053" r:id="rId47" name="chbx_B07">
          <controlPr autoFill="0" autoLine="0" r:id="rId20">
            <anchor moveWithCells="1">
              <from>
                <xdr:col>4</xdr:col>
                <xdr:colOff>361950</xdr:colOff>
                <xdr:row>39</xdr:row>
                <xdr:rowOff>9525</xdr:rowOff>
              </from>
              <to>
                <xdr:col>5</xdr:col>
                <xdr:colOff>76200</xdr:colOff>
                <xdr:row>39</xdr:row>
                <xdr:rowOff>152400</xdr:rowOff>
              </to>
            </anchor>
          </controlPr>
        </control>
      </mc:Choice>
      <mc:Fallback>
        <control shapeId="1053" r:id="rId47" name="chbx_B07"/>
      </mc:Fallback>
    </mc:AlternateContent>
    <mc:AlternateContent xmlns:mc="http://schemas.openxmlformats.org/markup-compatibility/2006">
      <mc:Choice Requires="x14">
        <control shapeId="1054" r:id="rId48" name="chbx_B08">
          <controlPr autoFill="0" autoLine="0" r:id="rId20">
            <anchor moveWithCells="1">
              <from>
                <xdr:col>4</xdr:col>
                <xdr:colOff>361950</xdr:colOff>
                <xdr:row>40</xdr:row>
                <xdr:rowOff>9525</xdr:rowOff>
              </from>
              <to>
                <xdr:col>5</xdr:col>
                <xdr:colOff>76200</xdr:colOff>
                <xdr:row>40</xdr:row>
                <xdr:rowOff>152400</xdr:rowOff>
              </to>
            </anchor>
          </controlPr>
        </control>
      </mc:Choice>
      <mc:Fallback>
        <control shapeId="1054" r:id="rId48" name="chbx_B08"/>
      </mc:Fallback>
    </mc:AlternateContent>
    <mc:AlternateContent xmlns:mc="http://schemas.openxmlformats.org/markup-compatibility/2006">
      <mc:Choice Requires="x14">
        <control shapeId="1055" r:id="rId49" name="chbx_B09">
          <controlPr autoFill="0" autoLine="0" r:id="rId20">
            <anchor moveWithCells="1">
              <from>
                <xdr:col>4</xdr:col>
                <xdr:colOff>361950</xdr:colOff>
                <xdr:row>41</xdr:row>
                <xdr:rowOff>9525</xdr:rowOff>
              </from>
              <to>
                <xdr:col>5</xdr:col>
                <xdr:colOff>76200</xdr:colOff>
                <xdr:row>41</xdr:row>
                <xdr:rowOff>152400</xdr:rowOff>
              </to>
            </anchor>
          </controlPr>
        </control>
      </mc:Choice>
      <mc:Fallback>
        <control shapeId="1055" r:id="rId49" name="chbx_B09"/>
      </mc:Fallback>
    </mc:AlternateContent>
    <mc:AlternateContent xmlns:mc="http://schemas.openxmlformats.org/markup-compatibility/2006">
      <mc:Choice Requires="x14">
        <control shapeId="1056" r:id="rId50" name="chbx_B10">
          <controlPr autoFill="0" autoLine="0" r:id="rId20">
            <anchor moveWithCells="1">
              <from>
                <xdr:col>4</xdr:col>
                <xdr:colOff>361950</xdr:colOff>
                <xdr:row>42</xdr:row>
                <xdr:rowOff>9525</xdr:rowOff>
              </from>
              <to>
                <xdr:col>5</xdr:col>
                <xdr:colOff>76200</xdr:colOff>
                <xdr:row>42</xdr:row>
                <xdr:rowOff>152400</xdr:rowOff>
              </to>
            </anchor>
          </controlPr>
        </control>
      </mc:Choice>
      <mc:Fallback>
        <control shapeId="1056" r:id="rId50" name="chbx_B10"/>
      </mc:Fallback>
    </mc:AlternateContent>
    <mc:AlternateContent xmlns:mc="http://schemas.openxmlformats.org/markup-compatibility/2006">
      <mc:Choice Requires="x14">
        <control shapeId="1057" r:id="rId51" name="chbx_R01">
          <controlPr autoFill="0" autoLine="0" r:id="rId20">
            <anchor moveWithCells="1">
              <from>
                <xdr:col>4</xdr:col>
                <xdr:colOff>361950</xdr:colOff>
                <xdr:row>44</xdr:row>
                <xdr:rowOff>9525</xdr:rowOff>
              </from>
              <to>
                <xdr:col>5</xdr:col>
                <xdr:colOff>76200</xdr:colOff>
                <xdr:row>44</xdr:row>
                <xdr:rowOff>152400</xdr:rowOff>
              </to>
            </anchor>
          </controlPr>
        </control>
      </mc:Choice>
      <mc:Fallback>
        <control shapeId="1057" r:id="rId51" name="chbx_R01"/>
      </mc:Fallback>
    </mc:AlternateContent>
    <mc:AlternateContent xmlns:mc="http://schemas.openxmlformats.org/markup-compatibility/2006">
      <mc:Choice Requires="x14">
        <control shapeId="1058" r:id="rId52" name="chbx_R02">
          <controlPr autoFill="0" autoLine="0" r:id="rId20">
            <anchor moveWithCells="1">
              <from>
                <xdr:col>4</xdr:col>
                <xdr:colOff>361950</xdr:colOff>
                <xdr:row>45</xdr:row>
                <xdr:rowOff>9525</xdr:rowOff>
              </from>
              <to>
                <xdr:col>5</xdr:col>
                <xdr:colOff>76200</xdr:colOff>
                <xdr:row>45</xdr:row>
                <xdr:rowOff>152400</xdr:rowOff>
              </to>
            </anchor>
          </controlPr>
        </control>
      </mc:Choice>
      <mc:Fallback>
        <control shapeId="1058" r:id="rId52" name="chbx_R02"/>
      </mc:Fallback>
    </mc:AlternateContent>
    <mc:AlternateContent xmlns:mc="http://schemas.openxmlformats.org/markup-compatibility/2006">
      <mc:Choice Requires="x14">
        <control shapeId="1059" r:id="rId53" name="chbx_C01">
          <controlPr autoFill="0" autoLine="0" r:id="rId20">
            <anchor moveWithCells="1">
              <from>
                <xdr:col>4</xdr:col>
                <xdr:colOff>361950</xdr:colOff>
                <xdr:row>47</xdr:row>
                <xdr:rowOff>9525</xdr:rowOff>
              </from>
              <to>
                <xdr:col>5</xdr:col>
                <xdr:colOff>76200</xdr:colOff>
                <xdr:row>47</xdr:row>
                <xdr:rowOff>152400</xdr:rowOff>
              </to>
            </anchor>
          </controlPr>
        </control>
      </mc:Choice>
      <mc:Fallback>
        <control shapeId="1059" r:id="rId53" name="chbx_C01"/>
      </mc:Fallback>
    </mc:AlternateContent>
    <mc:AlternateContent xmlns:mc="http://schemas.openxmlformats.org/markup-compatibility/2006">
      <mc:Choice Requires="x14">
        <control shapeId="1060" r:id="rId54" name="chbx_C02">
          <controlPr autoFill="0" autoLine="0" r:id="rId20">
            <anchor moveWithCells="1">
              <from>
                <xdr:col>4</xdr:col>
                <xdr:colOff>361950</xdr:colOff>
                <xdr:row>48</xdr:row>
                <xdr:rowOff>9525</xdr:rowOff>
              </from>
              <to>
                <xdr:col>5</xdr:col>
                <xdr:colOff>76200</xdr:colOff>
                <xdr:row>48</xdr:row>
                <xdr:rowOff>152400</xdr:rowOff>
              </to>
            </anchor>
          </controlPr>
        </control>
      </mc:Choice>
      <mc:Fallback>
        <control shapeId="1060" r:id="rId54" name="chbx_C02"/>
      </mc:Fallback>
    </mc:AlternateContent>
    <mc:AlternateContent xmlns:mc="http://schemas.openxmlformats.org/markup-compatibility/2006">
      <mc:Choice Requires="x14">
        <control shapeId="1061" r:id="rId55" name="lab_O_A">
          <controlPr autoLine="0" r:id="rId56">
            <anchor moveWithCells="1">
              <from>
                <xdr:col>4</xdr:col>
                <xdr:colOff>171450</xdr:colOff>
                <xdr:row>4</xdr:row>
                <xdr:rowOff>28575</xdr:rowOff>
              </from>
              <to>
                <xdr:col>4</xdr:col>
                <xdr:colOff>266700</xdr:colOff>
                <xdr:row>4</xdr:row>
                <xdr:rowOff>200025</xdr:rowOff>
              </to>
            </anchor>
          </controlPr>
        </control>
      </mc:Choice>
      <mc:Fallback>
        <control shapeId="1061" r:id="rId55" name="lab_O_A"/>
      </mc:Fallback>
    </mc:AlternateContent>
    <mc:AlternateContent xmlns:mc="http://schemas.openxmlformats.org/markup-compatibility/2006">
      <mc:Choice Requires="x14">
        <control shapeId="1062" r:id="rId57" name="lab_Z_A">
          <controlPr autoLine="0" r:id="rId58">
            <anchor moveWithCells="1">
              <from>
                <xdr:col>5</xdr:col>
                <xdr:colOff>180975</xdr:colOff>
                <xdr:row>4</xdr:row>
                <xdr:rowOff>28575</xdr:rowOff>
              </from>
              <to>
                <xdr:col>5</xdr:col>
                <xdr:colOff>276225</xdr:colOff>
                <xdr:row>4</xdr:row>
                <xdr:rowOff>209550</xdr:rowOff>
              </to>
            </anchor>
          </controlPr>
        </control>
      </mc:Choice>
      <mc:Fallback>
        <control shapeId="1062" r:id="rId57" name="lab_Z_A"/>
      </mc:Fallback>
    </mc:AlternateContent>
    <mc:AlternateContent xmlns:mc="http://schemas.openxmlformats.org/markup-compatibility/2006">
      <mc:Choice Requires="x14">
        <control shapeId="1063" r:id="rId59" name="lab_Z_T">
          <controlPr autoLine="0" r:id="rId60">
            <anchor moveWithCells="1">
              <from>
                <xdr:col>5</xdr:col>
                <xdr:colOff>219075</xdr:colOff>
                <xdr:row>5</xdr:row>
                <xdr:rowOff>9525</xdr:rowOff>
              </from>
              <to>
                <xdr:col>5</xdr:col>
                <xdr:colOff>314325</xdr:colOff>
                <xdr:row>6</xdr:row>
                <xdr:rowOff>19050</xdr:rowOff>
              </to>
            </anchor>
          </controlPr>
        </control>
      </mc:Choice>
      <mc:Fallback>
        <control shapeId="1063" r:id="rId59" name="lab_Z_T"/>
      </mc:Fallback>
    </mc:AlternateContent>
    <mc:AlternateContent xmlns:mc="http://schemas.openxmlformats.org/markup-compatibility/2006">
      <mc:Choice Requires="x14">
        <control shapeId="1064" r:id="rId61" name="lab_Z_F">
          <controlPr autoLine="0" r:id="rId62">
            <anchor moveWithCells="1">
              <from>
                <xdr:col>5</xdr:col>
                <xdr:colOff>219075</xdr:colOff>
                <xdr:row>9</xdr:row>
                <xdr:rowOff>9525</xdr:rowOff>
              </from>
              <to>
                <xdr:col>5</xdr:col>
                <xdr:colOff>314325</xdr:colOff>
                <xdr:row>10</xdr:row>
                <xdr:rowOff>19050</xdr:rowOff>
              </to>
            </anchor>
          </controlPr>
        </control>
      </mc:Choice>
      <mc:Fallback>
        <control shapeId="1064" r:id="rId61" name="lab_Z_F"/>
      </mc:Fallback>
    </mc:AlternateContent>
    <mc:AlternateContent xmlns:mc="http://schemas.openxmlformats.org/markup-compatibility/2006">
      <mc:Choice Requires="x14">
        <control shapeId="1065" r:id="rId63" name="lab_O_F">
          <controlPr autoLine="0" r:id="rId64">
            <anchor moveWithCells="1">
              <from>
                <xdr:col>4</xdr:col>
                <xdr:colOff>161925</xdr:colOff>
                <xdr:row>9</xdr:row>
                <xdr:rowOff>9525</xdr:rowOff>
              </from>
              <to>
                <xdr:col>4</xdr:col>
                <xdr:colOff>257175</xdr:colOff>
                <xdr:row>10</xdr:row>
                <xdr:rowOff>19050</xdr:rowOff>
              </to>
            </anchor>
          </controlPr>
        </control>
      </mc:Choice>
      <mc:Fallback>
        <control shapeId="1065" r:id="rId63" name="lab_O_F"/>
      </mc:Fallback>
    </mc:AlternateContent>
    <mc:AlternateContent xmlns:mc="http://schemas.openxmlformats.org/markup-compatibility/2006">
      <mc:Choice Requires="x14">
        <control shapeId="1066" r:id="rId65" name="lab_Z_S">
          <controlPr autoLine="0" r:id="rId66">
            <anchor moveWithCells="1">
              <from>
                <xdr:col>5</xdr:col>
                <xdr:colOff>219075</xdr:colOff>
                <xdr:row>16</xdr:row>
                <xdr:rowOff>9525</xdr:rowOff>
              </from>
              <to>
                <xdr:col>5</xdr:col>
                <xdr:colOff>314325</xdr:colOff>
                <xdr:row>17</xdr:row>
                <xdr:rowOff>19050</xdr:rowOff>
              </to>
            </anchor>
          </controlPr>
        </control>
      </mc:Choice>
      <mc:Fallback>
        <control shapeId="1066" r:id="rId65" name="lab_Z_S"/>
      </mc:Fallback>
    </mc:AlternateContent>
    <mc:AlternateContent xmlns:mc="http://schemas.openxmlformats.org/markup-compatibility/2006">
      <mc:Choice Requires="x14">
        <control shapeId="1067" r:id="rId67" name="lab_O_S">
          <controlPr autoLine="0" r:id="rId68">
            <anchor moveWithCells="1">
              <from>
                <xdr:col>4</xdr:col>
                <xdr:colOff>161925</xdr:colOff>
                <xdr:row>16</xdr:row>
                <xdr:rowOff>9525</xdr:rowOff>
              </from>
              <to>
                <xdr:col>4</xdr:col>
                <xdr:colOff>257175</xdr:colOff>
                <xdr:row>17</xdr:row>
                <xdr:rowOff>19050</xdr:rowOff>
              </to>
            </anchor>
          </controlPr>
        </control>
      </mc:Choice>
      <mc:Fallback>
        <control shapeId="1067" r:id="rId67" name="lab_O_S"/>
      </mc:Fallback>
    </mc:AlternateContent>
    <mc:AlternateContent xmlns:mc="http://schemas.openxmlformats.org/markup-compatibility/2006">
      <mc:Choice Requires="x14">
        <control shapeId="1068" r:id="rId69" name="lab_Z_I">
          <controlPr autoLine="0" r:id="rId70">
            <anchor moveWithCells="1">
              <from>
                <xdr:col>5</xdr:col>
                <xdr:colOff>219075</xdr:colOff>
                <xdr:row>26</xdr:row>
                <xdr:rowOff>9525</xdr:rowOff>
              </from>
              <to>
                <xdr:col>5</xdr:col>
                <xdr:colOff>314325</xdr:colOff>
                <xdr:row>27</xdr:row>
                <xdr:rowOff>19050</xdr:rowOff>
              </to>
            </anchor>
          </controlPr>
        </control>
      </mc:Choice>
      <mc:Fallback>
        <control shapeId="1068" r:id="rId69" name="lab_Z_I"/>
      </mc:Fallback>
    </mc:AlternateContent>
    <mc:AlternateContent xmlns:mc="http://schemas.openxmlformats.org/markup-compatibility/2006">
      <mc:Choice Requires="x14">
        <control shapeId="1069" r:id="rId71" name="lab_O_I">
          <controlPr autoLine="0" r:id="rId72">
            <anchor moveWithCells="1">
              <from>
                <xdr:col>4</xdr:col>
                <xdr:colOff>161925</xdr:colOff>
                <xdr:row>26</xdr:row>
                <xdr:rowOff>9525</xdr:rowOff>
              </from>
              <to>
                <xdr:col>4</xdr:col>
                <xdr:colOff>257175</xdr:colOff>
                <xdr:row>27</xdr:row>
                <xdr:rowOff>19050</xdr:rowOff>
              </to>
            </anchor>
          </controlPr>
        </control>
      </mc:Choice>
      <mc:Fallback>
        <control shapeId="1069" r:id="rId71" name="lab_O_I"/>
      </mc:Fallback>
    </mc:AlternateContent>
    <mc:AlternateContent xmlns:mc="http://schemas.openxmlformats.org/markup-compatibility/2006">
      <mc:Choice Requires="x14">
        <control shapeId="1070" r:id="rId73" name="lab_Z_B">
          <controlPr autoLine="0" r:id="rId74">
            <anchor moveWithCells="1">
              <from>
                <xdr:col>5</xdr:col>
                <xdr:colOff>219075</xdr:colOff>
                <xdr:row>31</xdr:row>
                <xdr:rowOff>9525</xdr:rowOff>
              </from>
              <to>
                <xdr:col>5</xdr:col>
                <xdr:colOff>314325</xdr:colOff>
                <xdr:row>32</xdr:row>
                <xdr:rowOff>19050</xdr:rowOff>
              </to>
            </anchor>
          </controlPr>
        </control>
      </mc:Choice>
      <mc:Fallback>
        <control shapeId="1070" r:id="rId73" name="lab_Z_B"/>
      </mc:Fallback>
    </mc:AlternateContent>
    <mc:AlternateContent xmlns:mc="http://schemas.openxmlformats.org/markup-compatibility/2006">
      <mc:Choice Requires="x14">
        <control shapeId="1071" r:id="rId75" name="lab_O_B">
          <controlPr autoLine="0" r:id="rId76">
            <anchor moveWithCells="1">
              <from>
                <xdr:col>4</xdr:col>
                <xdr:colOff>161925</xdr:colOff>
                <xdr:row>31</xdr:row>
                <xdr:rowOff>9525</xdr:rowOff>
              </from>
              <to>
                <xdr:col>4</xdr:col>
                <xdr:colOff>257175</xdr:colOff>
                <xdr:row>32</xdr:row>
                <xdr:rowOff>19050</xdr:rowOff>
              </to>
            </anchor>
          </controlPr>
        </control>
      </mc:Choice>
      <mc:Fallback>
        <control shapeId="1071" r:id="rId75" name="lab_O_B"/>
      </mc:Fallback>
    </mc:AlternateContent>
    <mc:AlternateContent xmlns:mc="http://schemas.openxmlformats.org/markup-compatibility/2006">
      <mc:Choice Requires="x14">
        <control shapeId="1072" r:id="rId77" name="lab_Z_R">
          <controlPr autoLine="0" r:id="rId78">
            <anchor moveWithCells="1">
              <from>
                <xdr:col>5</xdr:col>
                <xdr:colOff>219075</xdr:colOff>
                <xdr:row>43</xdr:row>
                <xdr:rowOff>9525</xdr:rowOff>
              </from>
              <to>
                <xdr:col>5</xdr:col>
                <xdr:colOff>314325</xdr:colOff>
                <xdr:row>44</xdr:row>
                <xdr:rowOff>19050</xdr:rowOff>
              </to>
            </anchor>
          </controlPr>
        </control>
      </mc:Choice>
      <mc:Fallback>
        <control shapeId="1072" r:id="rId77" name="lab_Z_R"/>
      </mc:Fallback>
    </mc:AlternateContent>
    <mc:AlternateContent xmlns:mc="http://schemas.openxmlformats.org/markup-compatibility/2006">
      <mc:Choice Requires="x14">
        <control shapeId="1073" r:id="rId79" name="lab_O_R">
          <controlPr autoLine="0" r:id="rId80">
            <anchor moveWithCells="1">
              <from>
                <xdr:col>4</xdr:col>
                <xdr:colOff>161925</xdr:colOff>
                <xdr:row>43</xdr:row>
                <xdr:rowOff>9525</xdr:rowOff>
              </from>
              <to>
                <xdr:col>4</xdr:col>
                <xdr:colOff>257175</xdr:colOff>
                <xdr:row>44</xdr:row>
                <xdr:rowOff>19050</xdr:rowOff>
              </to>
            </anchor>
          </controlPr>
        </control>
      </mc:Choice>
      <mc:Fallback>
        <control shapeId="1073" r:id="rId79" name="lab_O_R"/>
      </mc:Fallback>
    </mc:AlternateContent>
    <mc:AlternateContent xmlns:mc="http://schemas.openxmlformats.org/markup-compatibility/2006">
      <mc:Choice Requires="x14">
        <control shapeId="1074" r:id="rId81" name="lab_Z_C">
          <controlPr autoLine="0" r:id="rId82">
            <anchor moveWithCells="1">
              <from>
                <xdr:col>5</xdr:col>
                <xdr:colOff>219075</xdr:colOff>
                <xdr:row>46</xdr:row>
                <xdr:rowOff>9525</xdr:rowOff>
              </from>
              <to>
                <xdr:col>5</xdr:col>
                <xdr:colOff>314325</xdr:colOff>
                <xdr:row>47</xdr:row>
                <xdr:rowOff>19050</xdr:rowOff>
              </to>
            </anchor>
          </controlPr>
        </control>
      </mc:Choice>
      <mc:Fallback>
        <control shapeId="1074" r:id="rId81" name="lab_Z_C"/>
      </mc:Fallback>
    </mc:AlternateContent>
    <mc:AlternateContent xmlns:mc="http://schemas.openxmlformats.org/markup-compatibility/2006">
      <mc:Choice Requires="x14">
        <control shapeId="1075" r:id="rId83" name="lab_O_C">
          <controlPr autoLine="0" r:id="rId84">
            <anchor moveWithCells="1">
              <from>
                <xdr:col>4</xdr:col>
                <xdr:colOff>161925</xdr:colOff>
                <xdr:row>46</xdr:row>
                <xdr:rowOff>9525</xdr:rowOff>
              </from>
              <to>
                <xdr:col>4</xdr:col>
                <xdr:colOff>257175</xdr:colOff>
                <xdr:row>47</xdr:row>
                <xdr:rowOff>19050</xdr:rowOff>
              </to>
            </anchor>
          </controlPr>
        </control>
      </mc:Choice>
      <mc:Fallback>
        <control shapeId="1075" r:id="rId83" name="lab_O_C"/>
      </mc:Fallback>
    </mc:AlternateContent>
    <mc:AlternateContent xmlns:mc="http://schemas.openxmlformats.org/markup-compatibility/2006">
      <mc:Choice Requires="x14">
        <control shapeId="1076" r:id="rId85" name="lab_Z_S1">
          <controlPr autoLine="0" r:id="rId86">
            <anchor moveWithCells="1">
              <from>
                <xdr:col>5</xdr:col>
                <xdr:colOff>219075</xdr:colOff>
                <xdr:row>20</xdr:row>
                <xdr:rowOff>152400</xdr:rowOff>
              </from>
              <to>
                <xdr:col>5</xdr:col>
                <xdr:colOff>314325</xdr:colOff>
                <xdr:row>22</xdr:row>
                <xdr:rowOff>0</xdr:rowOff>
              </to>
            </anchor>
          </controlPr>
        </control>
      </mc:Choice>
      <mc:Fallback>
        <control shapeId="1076" r:id="rId85" name="lab_Z_S1"/>
      </mc:Fallback>
    </mc:AlternateContent>
    <mc:AlternateContent xmlns:mc="http://schemas.openxmlformats.org/markup-compatibility/2006">
      <mc:Choice Requires="x14">
        <control shapeId="1078" r:id="rId87" name="lab_Z_B1">
          <controlPr autoLine="0" r:id="rId88">
            <anchor moveWithCells="1">
              <from>
                <xdr:col>5</xdr:col>
                <xdr:colOff>219075</xdr:colOff>
                <xdr:row>33</xdr:row>
                <xdr:rowOff>152400</xdr:rowOff>
              </from>
              <to>
                <xdr:col>5</xdr:col>
                <xdr:colOff>314325</xdr:colOff>
                <xdr:row>35</xdr:row>
                <xdr:rowOff>0</xdr:rowOff>
              </to>
            </anchor>
          </controlPr>
        </control>
      </mc:Choice>
      <mc:Fallback>
        <control shapeId="1078" r:id="rId87" name="lab_Z_B1"/>
      </mc:Fallback>
    </mc:AlternateContent>
    <mc:AlternateContent xmlns:mc="http://schemas.openxmlformats.org/markup-compatibility/2006">
      <mc:Choice Requires="x14">
        <control shapeId="1079" r:id="rId89" name="lab_O_B1">
          <controlPr autoLine="0" r:id="rId90">
            <anchor moveWithCells="1">
              <from>
                <xdr:col>4</xdr:col>
                <xdr:colOff>171450</xdr:colOff>
                <xdr:row>33</xdr:row>
                <xdr:rowOff>152400</xdr:rowOff>
              </from>
              <to>
                <xdr:col>4</xdr:col>
                <xdr:colOff>266700</xdr:colOff>
                <xdr:row>35</xdr:row>
                <xdr:rowOff>0</xdr:rowOff>
              </to>
            </anchor>
          </controlPr>
        </control>
      </mc:Choice>
      <mc:Fallback>
        <control shapeId="1079" r:id="rId89" name="lab_O_B1"/>
      </mc:Fallback>
    </mc:AlternateContent>
    <mc:AlternateContent xmlns:mc="http://schemas.openxmlformats.org/markup-compatibility/2006">
      <mc:Choice Requires="x14">
        <control shapeId="1085" r:id="rId91" name="lab_LangEnglish">
          <controlPr autoLine="0" r:id="rId92">
            <anchor moveWithCells="1">
              <from>
                <xdr:col>14</xdr:col>
                <xdr:colOff>247650</xdr:colOff>
                <xdr:row>1</xdr:row>
                <xdr:rowOff>9525</xdr:rowOff>
              </from>
              <to>
                <xdr:col>16</xdr:col>
                <xdr:colOff>133350</xdr:colOff>
                <xdr:row>2</xdr:row>
                <xdr:rowOff>38100</xdr:rowOff>
              </to>
            </anchor>
          </controlPr>
        </control>
      </mc:Choice>
      <mc:Fallback>
        <control shapeId="1085" r:id="rId91" name="lab_LangEnglish"/>
      </mc:Fallback>
    </mc:AlternateContent>
    <mc:AlternateContent xmlns:mc="http://schemas.openxmlformats.org/markup-compatibility/2006">
      <mc:Choice Requires="x14">
        <control shapeId="1086" r:id="rId93" name="lab_LangSlovak">
          <controlPr autoLine="0" r:id="rId94">
            <anchor moveWithCells="1">
              <from>
                <xdr:col>17</xdr:col>
                <xdr:colOff>19050</xdr:colOff>
                <xdr:row>1</xdr:row>
                <xdr:rowOff>9525</xdr:rowOff>
              </from>
              <to>
                <xdr:col>19</xdr:col>
                <xdr:colOff>28575</xdr:colOff>
                <xdr:row>2</xdr:row>
                <xdr:rowOff>38100</xdr:rowOff>
              </to>
            </anchor>
          </controlPr>
        </control>
      </mc:Choice>
      <mc:Fallback>
        <control shapeId="1086" r:id="rId93" name="lab_LangSlovak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2_">
    <pageSetUpPr fitToPage="1"/>
  </sheetPr>
  <dimension ref="A1:S54"/>
  <sheetViews>
    <sheetView showGridLines="0" zoomScaleNormal="100" workbookViewId="0">
      <selection activeCell="O51" sqref="O51:S51"/>
    </sheetView>
  </sheetViews>
  <sheetFormatPr defaultRowHeight="12.75" x14ac:dyDescent="0.2"/>
  <cols>
    <col min="1" max="1" width="1.140625" customWidth="1"/>
    <col min="2" max="2" width="19.42578125" customWidth="1"/>
    <col min="3" max="3" width="19.28515625" customWidth="1"/>
    <col min="4" max="4" width="20" customWidth="1"/>
    <col min="5" max="6" width="6.42578125" customWidth="1"/>
    <col min="7" max="7" width="43" customWidth="1"/>
    <col min="8" max="8" width="1.85546875" customWidth="1"/>
    <col min="9" max="18" width="4" customWidth="1"/>
    <col min="19" max="19" width="1.85546875" customWidth="1"/>
    <col min="20" max="20" width="1.140625" customWidth="1"/>
  </cols>
  <sheetData>
    <row r="1" spans="1:19" ht="7.5" customHeight="1" x14ac:dyDescent="0.2"/>
    <row r="3" spans="1:19" ht="7.5" customHeight="1" thickBot="1" x14ac:dyDescent="0.25">
      <c r="A3" s="85"/>
    </row>
    <row r="4" spans="1:19" ht="24.75" customHeight="1" thickTop="1" thickBot="1" x14ac:dyDescent="0.25">
      <c r="B4" s="90" t="s">
        <v>77</v>
      </c>
      <c r="C4" s="188" t="s">
        <v>6</v>
      </c>
      <c r="D4" s="188"/>
      <c r="E4" s="188" t="s">
        <v>13</v>
      </c>
      <c r="F4" s="188"/>
      <c r="G4" s="93" t="s">
        <v>14</v>
      </c>
      <c r="H4" s="197" t="s">
        <v>53</v>
      </c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9"/>
    </row>
    <row r="5" spans="1:19" ht="17.25" customHeight="1" thickBot="1" x14ac:dyDescent="0.25">
      <c r="B5" s="2"/>
      <c r="C5" s="3"/>
      <c r="D5" s="4" t="s">
        <v>59</v>
      </c>
      <c r="E5" s="69"/>
      <c r="F5" s="70"/>
      <c r="G5" s="38" t="s">
        <v>60</v>
      </c>
      <c r="H5" s="200"/>
      <c r="I5" s="201"/>
      <c r="J5" s="201"/>
      <c r="K5" s="201"/>
      <c r="L5" s="201"/>
      <c r="M5" s="201"/>
      <c r="N5" s="201"/>
      <c r="O5" s="201"/>
      <c r="P5" s="201"/>
      <c r="Q5" s="201"/>
      <c r="R5" s="201"/>
      <c r="S5" s="202"/>
    </row>
    <row r="6" spans="1:19" ht="12.75" customHeight="1" x14ac:dyDescent="0.2">
      <c r="B6" s="215" t="s">
        <v>5</v>
      </c>
      <c r="C6" s="29"/>
      <c r="D6" s="29"/>
      <c r="E6" s="68"/>
      <c r="F6" s="71"/>
      <c r="G6" s="62"/>
      <c r="H6" s="203" t="s">
        <v>1</v>
      </c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5"/>
    </row>
    <row r="7" spans="1:19" ht="12.75" customHeight="1" x14ac:dyDescent="0.2">
      <c r="B7" s="216"/>
      <c r="C7" s="19" t="s">
        <v>38</v>
      </c>
      <c r="D7" s="19"/>
      <c r="E7" s="230"/>
      <c r="F7" s="230"/>
      <c r="G7" s="39" t="s">
        <v>49</v>
      </c>
      <c r="H7" s="171" t="s">
        <v>72</v>
      </c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</row>
    <row r="8" spans="1:19" ht="12.75" customHeight="1" x14ac:dyDescent="0.2">
      <c r="B8" s="216"/>
      <c r="C8" s="28" t="s">
        <v>62</v>
      </c>
      <c r="D8" s="28"/>
      <c r="E8" s="230"/>
      <c r="F8" s="230"/>
      <c r="G8" s="39" t="s">
        <v>76</v>
      </c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7"/>
    </row>
    <row r="9" spans="1:19" ht="12.75" customHeight="1" x14ac:dyDescent="0.2">
      <c r="B9" s="217"/>
      <c r="C9" s="50" t="s">
        <v>63</v>
      </c>
      <c r="D9" s="50"/>
      <c r="E9" s="231"/>
      <c r="F9" s="231"/>
      <c r="G9" s="40" t="s">
        <v>75</v>
      </c>
      <c r="H9" s="5"/>
      <c r="I9" s="178" t="s">
        <v>54</v>
      </c>
      <c r="J9" s="178"/>
      <c r="K9" s="178"/>
      <c r="L9" s="232"/>
      <c r="M9" s="233"/>
      <c r="N9" s="233"/>
      <c r="O9" s="233"/>
      <c r="P9" s="233"/>
      <c r="Q9" s="233"/>
      <c r="R9" s="234"/>
      <c r="S9" s="7"/>
    </row>
    <row r="10" spans="1:19" ht="12.75" customHeight="1" x14ac:dyDescent="0.2">
      <c r="B10" s="223" t="s">
        <v>3</v>
      </c>
      <c r="C10" s="60"/>
      <c r="D10" s="60"/>
      <c r="E10" s="72"/>
      <c r="F10" s="72"/>
      <c r="G10" s="61"/>
      <c r="H10" s="5"/>
      <c r="I10" s="6"/>
      <c r="J10" s="6"/>
      <c r="K10" s="6"/>
      <c r="L10" s="6"/>
      <c r="M10" s="6"/>
      <c r="N10" s="6"/>
      <c r="O10" s="6"/>
      <c r="P10" s="6"/>
      <c r="Q10" s="6"/>
      <c r="R10" s="6"/>
      <c r="S10" s="7"/>
    </row>
    <row r="11" spans="1:19" ht="12.75" customHeight="1" x14ac:dyDescent="0.2">
      <c r="B11" s="224"/>
      <c r="C11" s="51" t="s">
        <v>7</v>
      </c>
      <c r="D11" s="51"/>
      <c r="E11" s="235"/>
      <c r="F11" s="235"/>
      <c r="G11" s="52" t="s">
        <v>39</v>
      </c>
      <c r="H11" s="5"/>
      <c r="I11" s="178" t="s">
        <v>55</v>
      </c>
      <c r="J11" s="178"/>
      <c r="K11" s="178"/>
      <c r="L11" s="232"/>
      <c r="M11" s="233"/>
      <c r="N11" s="233"/>
      <c r="O11" s="233"/>
      <c r="P11" s="233"/>
      <c r="Q11" s="233"/>
      <c r="R11" s="234"/>
      <c r="S11" s="7"/>
    </row>
    <row r="12" spans="1:19" ht="12.75" customHeight="1" x14ac:dyDescent="0.2">
      <c r="B12" s="224"/>
      <c r="C12" s="51" t="s">
        <v>8</v>
      </c>
      <c r="D12" s="51"/>
      <c r="E12" s="235"/>
      <c r="F12" s="235"/>
      <c r="G12" s="52" t="s">
        <v>40</v>
      </c>
      <c r="H12" s="5"/>
      <c r="I12" s="6"/>
      <c r="J12" s="6"/>
      <c r="K12" s="6"/>
      <c r="L12" s="6"/>
      <c r="M12" s="6"/>
      <c r="N12" s="6"/>
      <c r="O12" s="6"/>
      <c r="P12" s="6"/>
      <c r="Q12" s="6"/>
      <c r="R12" s="6"/>
      <c r="S12" s="7"/>
    </row>
    <row r="13" spans="1:19" ht="12.75" customHeight="1" x14ac:dyDescent="0.2">
      <c r="B13" s="224"/>
      <c r="C13" s="51" t="s">
        <v>9</v>
      </c>
      <c r="D13" s="51"/>
      <c r="E13" s="235"/>
      <c r="F13" s="235"/>
      <c r="G13" s="53" t="s">
        <v>41</v>
      </c>
      <c r="H13" s="5"/>
      <c r="I13" s="178" t="s">
        <v>56</v>
      </c>
      <c r="J13" s="178"/>
      <c r="K13" s="178"/>
      <c r="L13" s="178"/>
      <c r="M13" s="178"/>
      <c r="N13" s="178"/>
      <c r="O13" s="221"/>
      <c r="P13" s="218"/>
      <c r="Q13" s="219"/>
      <c r="R13" s="220"/>
      <c r="S13" s="7"/>
    </row>
    <row r="14" spans="1:19" ht="12.75" customHeight="1" x14ac:dyDescent="0.2">
      <c r="B14" s="224"/>
      <c r="C14" s="51" t="s">
        <v>10</v>
      </c>
      <c r="D14" s="51"/>
      <c r="E14" s="235"/>
      <c r="F14" s="235"/>
      <c r="G14" s="52" t="s">
        <v>42</v>
      </c>
      <c r="H14" s="5"/>
      <c r="I14" s="6"/>
      <c r="J14" s="6"/>
      <c r="K14" s="8"/>
      <c r="L14" s="6"/>
      <c r="M14" s="6"/>
      <c r="N14" s="6"/>
      <c r="O14" s="8"/>
      <c r="P14" s="8"/>
      <c r="Q14" s="8"/>
      <c r="R14" s="6"/>
      <c r="S14" s="7"/>
    </row>
    <row r="15" spans="1:19" ht="12.75" customHeight="1" x14ac:dyDescent="0.2">
      <c r="B15" s="224"/>
      <c r="C15" s="51" t="s">
        <v>11</v>
      </c>
      <c r="D15" s="51"/>
      <c r="E15" s="235"/>
      <c r="F15" s="235"/>
      <c r="G15" s="52" t="s">
        <v>43</v>
      </c>
      <c r="H15" s="5"/>
      <c r="I15" s="6"/>
      <c r="J15" s="6"/>
      <c r="K15" s="166" t="s">
        <v>57</v>
      </c>
      <c r="L15" s="166"/>
      <c r="M15" s="166"/>
      <c r="N15" s="239"/>
      <c r="O15" s="240"/>
      <c r="P15" s="241"/>
      <c r="Q15" s="236" t="str">
        <f>IF(_C_Cell_C&lt;&gt;"",IF(ISTEXT(_C_Cell_C),"","text  !"),"")</f>
        <v/>
      </c>
      <c r="R15" s="237"/>
      <c r="S15" s="7"/>
    </row>
    <row r="16" spans="1:19" ht="12.75" customHeight="1" x14ac:dyDescent="0.2">
      <c r="B16" s="225"/>
      <c r="C16" s="54" t="s">
        <v>12</v>
      </c>
      <c r="D16" s="54"/>
      <c r="E16" s="238"/>
      <c r="F16" s="238"/>
      <c r="G16" s="55" t="s">
        <v>44</v>
      </c>
      <c r="H16" s="5"/>
      <c r="I16" s="6"/>
      <c r="J16" s="6"/>
      <c r="K16" s="6"/>
      <c r="L16" s="6"/>
      <c r="M16" s="6"/>
      <c r="N16" s="6"/>
      <c r="O16" s="6"/>
      <c r="P16" s="6"/>
      <c r="Q16" s="6"/>
      <c r="R16" s="6"/>
      <c r="S16" s="7"/>
    </row>
    <row r="17" spans="2:19" ht="12.75" customHeight="1" x14ac:dyDescent="0.2">
      <c r="B17" s="206" t="s">
        <v>0</v>
      </c>
      <c r="C17" s="30"/>
      <c r="D17" s="30"/>
      <c r="E17" s="73"/>
      <c r="F17" s="73"/>
      <c r="G17" s="63"/>
      <c r="H17" s="5"/>
      <c r="I17" s="6"/>
      <c r="J17" s="6"/>
      <c r="K17" s="166" t="s">
        <v>58</v>
      </c>
      <c r="L17" s="166"/>
      <c r="M17" s="166"/>
      <c r="N17" s="239"/>
      <c r="O17" s="240"/>
      <c r="P17" s="241"/>
      <c r="Q17" s="236" t="str">
        <f>IF(_C_Cell_R&lt;&gt;"",IF(ISNUMBER(_C_Cell_R),"","číslo  !"),"")</f>
        <v/>
      </c>
      <c r="R17" s="237"/>
      <c r="S17" s="7"/>
    </row>
    <row r="18" spans="2:19" ht="12.75" customHeight="1" x14ac:dyDescent="0.2">
      <c r="B18" s="207"/>
      <c r="C18" s="16" t="s">
        <v>29</v>
      </c>
      <c r="D18" s="16"/>
      <c r="E18" s="243"/>
      <c r="F18" s="243"/>
      <c r="G18" s="41" t="s">
        <v>45</v>
      </c>
      <c r="H18" s="5"/>
      <c r="I18" s="6"/>
      <c r="J18" s="6"/>
      <c r="K18" s="6"/>
      <c r="L18" s="6"/>
      <c r="M18" s="6"/>
      <c r="N18" s="6"/>
      <c r="O18" s="6"/>
      <c r="P18" s="6"/>
      <c r="Q18" s="6"/>
      <c r="R18" s="6"/>
      <c r="S18" s="7"/>
    </row>
    <row r="19" spans="2:19" ht="12.75" customHeight="1" x14ac:dyDescent="0.2">
      <c r="B19" s="207"/>
      <c r="C19" s="16" t="s">
        <v>30</v>
      </c>
      <c r="D19" s="16"/>
      <c r="E19" s="243"/>
      <c r="F19" s="243"/>
      <c r="G19" s="41" t="s">
        <v>46</v>
      </c>
      <c r="H19" s="5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7"/>
    </row>
    <row r="20" spans="2:19" ht="12.75" customHeight="1" x14ac:dyDescent="0.2">
      <c r="B20" s="207"/>
      <c r="C20" s="17" t="s">
        <v>31</v>
      </c>
      <c r="D20" s="16"/>
      <c r="E20" s="243"/>
      <c r="F20" s="243"/>
      <c r="G20" s="41" t="s">
        <v>47</v>
      </c>
      <c r="H20" s="5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7"/>
    </row>
    <row r="21" spans="2:19" ht="12.75" customHeight="1" x14ac:dyDescent="0.2">
      <c r="B21" s="207"/>
      <c r="C21" s="16" t="s">
        <v>32</v>
      </c>
      <c r="D21" s="16"/>
      <c r="E21" s="243"/>
      <c r="F21" s="243"/>
      <c r="G21" s="42" t="s">
        <v>80</v>
      </c>
      <c r="H21" s="5"/>
      <c r="I21" s="8"/>
      <c r="J21" s="8"/>
      <c r="K21" s="8"/>
      <c r="L21" s="8"/>
      <c r="M21" s="8"/>
      <c r="N21" s="6"/>
      <c r="O21" s="6"/>
      <c r="P21" s="6"/>
      <c r="Q21" s="6"/>
      <c r="R21" s="6"/>
      <c r="S21" s="7"/>
    </row>
    <row r="22" spans="2:19" ht="12.75" customHeight="1" x14ac:dyDescent="0.2">
      <c r="B22" s="207"/>
      <c r="C22" s="92" t="s">
        <v>33</v>
      </c>
      <c r="D22" s="16"/>
      <c r="E22" s="78"/>
      <c r="F22" s="79"/>
      <c r="G22" s="41"/>
      <c r="H22" s="5"/>
      <c r="I22" s="6"/>
      <c r="J22" s="6"/>
      <c r="K22" s="6"/>
      <c r="L22" s="6"/>
      <c r="M22" s="6"/>
      <c r="N22" s="6"/>
      <c r="O22" s="6"/>
      <c r="P22" s="6"/>
      <c r="Q22" s="6"/>
      <c r="R22" s="8"/>
      <c r="S22" s="37" t="s">
        <v>114</v>
      </c>
    </row>
    <row r="23" spans="2:19" ht="12.75" customHeight="1" x14ac:dyDescent="0.2">
      <c r="B23" s="207"/>
      <c r="C23" s="16"/>
      <c r="D23" s="16" t="s">
        <v>34</v>
      </c>
      <c r="E23" s="243"/>
      <c r="F23" s="243"/>
      <c r="G23" s="41"/>
      <c r="H23" s="168" t="s">
        <v>50</v>
      </c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70"/>
    </row>
    <row r="24" spans="2:19" ht="12.75" customHeight="1" x14ac:dyDescent="0.2">
      <c r="B24" s="207"/>
      <c r="C24" s="16"/>
      <c r="D24" s="16" t="s">
        <v>35</v>
      </c>
      <c r="E24" s="243"/>
      <c r="F24" s="243"/>
      <c r="G24" s="41"/>
      <c r="H24" s="171" t="s">
        <v>51</v>
      </c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3"/>
    </row>
    <row r="25" spans="2:19" ht="12.75" customHeight="1" x14ac:dyDescent="0.2">
      <c r="B25" s="207"/>
      <c r="C25" s="16"/>
      <c r="D25" s="16" t="s">
        <v>36</v>
      </c>
      <c r="E25" s="243"/>
      <c r="F25" s="243"/>
      <c r="G25" s="41"/>
      <c r="H25" s="5"/>
      <c r="I25" s="6"/>
      <c r="J25" s="6"/>
      <c r="K25" s="6"/>
      <c r="L25" s="6"/>
      <c r="M25" s="6"/>
      <c r="N25" s="6"/>
      <c r="O25" s="6"/>
      <c r="P25" s="6"/>
      <c r="Q25" s="6"/>
      <c r="R25" s="6"/>
      <c r="S25" s="7"/>
    </row>
    <row r="26" spans="2:19" ht="12.75" customHeight="1" x14ac:dyDescent="0.2">
      <c r="B26" s="208"/>
      <c r="C26" s="18" t="s">
        <v>37</v>
      </c>
      <c r="D26" s="18"/>
      <c r="E26" s="242"/>
      <c r="F26" s="242"/>
      <c r="G26" s="43" t="s">
        <v>48</v>
      </c>
      <c r="H26" s="5"/>
      <c r="I26" s="178" t="s">
        <v>54</v>
      </c>
      <c r="J26" s="178"/>
      <c r="K26" s="178"/>
      <c r="L26" s="232"/>
      <c r="M26" s="233"/>
      <c r="N26" s="233"/>
      <c r="O26" s="233"/>
      <c r="P26" s="233"/>
      <c r="Q26" s="233"/>
      <c r="R26" s="234"/>
      <c r="S26" s="7"/>
    </row>
    <row r="27" spans="2:19" ht="12.75" customHeight="1" x14ac:dyDescent="0.2">
      <c r="B27" s="209" t="s">
        <v>2</v>
      </c>
      <c r="C27" s="31"/>
      <c r="D27" s="31"/>
      <c r="E27" s="74"/>
      <c r="F27" s="74"/>
      <c r="G27" s="64"/>
      <c r="H27" s="5"/>
      <c r="I27" s="6"/>
      <c r="J27" s="6"/>
      <c r="K27" s="6"/>
      <c r="L27" s="6"/>
      <c r="M27" s="6"/>
      <c r="N27" s="6"/>
      <c r="O27" s="6"/>
      <c r="P27" s="6"/>
      <c r="Q27" s="6"/>
      <c r="R27" s="6"/>
      <c r="S27" s="7"/>
    </row>
    <row r="28" spans="2:19" ht="12.75" customHeight="1" x14ac:dyDescent="0.2">
      <c r="B28" s="210"/>
      <c r="C28" s="20" t="s">
        <v>15</v>
      </c>
      <c r="D28" s="20"/>
      <c r="E28" s="245"/>
      <c r="F28" s="245"/>
      <c r="G28" s="44" t="s">
        <v>74</v>
      </c>
      <c r="H28" s="5"/>
      <c r="I28" s="178" t="s">
        <v>55</v>
      </c>
      <c r="J28" s="178"/>
      <c r="K28" s="178"/>
      <c r="L28" s="232"/>
      <c r="M28" s="233"/>
      <c r="N28" s="233"/>
      <c r="O28" s="233"/>
      <c r="P28" s="233"/>
      <c r="Q28" s="233"/>
      <c r="R28" s="234"/>
      <c r="S28" s="7"/>
    </row>
    <row r="29" spans="2:19" ht="12.75" customHeight="1" x14ac:dyDescent="0.2">
      <c r="B29" s="210"/>
      <c r="C29" s="21" t="s">
        <v>16</v>
      </c>
      <c r="D29" s="21"/>
      <c r="E29" s="245"/>
      <c r="F29" s="245"/>
      <c r="G29" s="44" t="s">
        <v>43</v>
      </c>
      <c r="H29" s="5"/>
      <c r="I29" s="6"/>
      <c r="J29" s="6"/>
      <c r="K29" s="6"/>
      <c r="L29" s="6"/>
      <c r="M29" s="6"/>
      <c r="N29" s="6"/>
      <c r="O29" s="6"/>
      <c r="P29" s="6"/>
      <c r="Q29" s="6"/>
      <c r="R29" s="6"/>
      <c r="S29" s="7"/>
    </row>
    <row r="30" spans="2:19" ht="12.75" customHeight="1" x14ac:dyDescent="0.2">
      <c r="B30" s="210"/>
      <c r="C30" s="20" t="s">
        <v>17</v>
      </c>
      <c r="D30" s="20"/>
      <c r="E30" s="245"/>
      <c r="F30" s="245"/>
      <c r="G30" s="44"/>
      <c r="H30" s="5"/>
      <c r="I30" s="218"/>
      <c r="J30" s="219"/>
      <c r="K30" s="220"/>
      <c r="L30" s="226" t="s">
        <v>165</v>
      </c>
      <c r="M30" s="227"/>
      <c r="N30" s="227"/>
      <c r="O30" s="227"/>
      <c r="P30" s="227"/>
      <c r="Q30" s="227"/>
      <c r="R30" s="227"/>
      <c r="S30" s="7"/>
    </row>
    <row r="31" spans="2:19" ht="12.75" customHeight="1" x14ac:dyDescent="0.2">
      <c r="B31" s="211"/>
      <c r="C31" s="83" t="s">
        <v>18</v>
      </c>
      <c r="D31" s="22"/>
      <c r="E31" s="244"/>
      <c r="F31" s="244"/>
      <c r="G31" s="58"/>
      <c r="H31" s="5"/>
      <c r="I31" s="6"/>
      <c r="J31" s="6"/>
      <c r="K31" s="9"/>
      <c r="L31" s="6"/>
      <c r="M31" s="6"/>
      <c r="N31" s="6"/>
      <c r="O31" s="6"/>
      <c r="P31" s="6"/>
      <c r="Q31" s="6"/>
      <c r="R31" s="6"/>
      <c r="S31" s="7"/>
    </row>
    <row r="32" spans="2:19" ht="12.75" customHeight="1" x14ac:dyDescent="0.2">
      <c r="B32" s="212" t="s">
        <v>4</v>
      </c>
      <c r="C32" s="32"/>
      <c r="D32" s="32"/>
      <c r="E32" s="75"/>
      <c r="F32" s="75"/>
      <c r="G32" s="65"/>
      <c r="H32" s="5"/>
      <c r="I32" s="237" t="str">
        <f>IF(_R_Cell_A_C&lt;&gt;"",IF(ISTEXT(_R_Cell_A_C),"","text  !"),"")</f>
        <v/>
      </c>
      <c r="J32" s="247"/>
      <c r="K32" s="239"/>
      <c r="L32" s="240"/>
      <c r="M32" s="241"/>
      <c r="N32" s="177" t="s">
        <v>57</v>
      </c>
      <c r="O32" s="177"/>
      <c r="P32" s="177"/>
      <c r="Q32" s="6"/>
      <c r="R32" s="6"/>
      <c r="S32" s="7"/>
    </row>
    <row r="33" spans="2:19" ht="12.75" customHeight="1" x14ac:dyDescent="0.2">
      <c r="B33" s="213"/>
      <c r="C33" s="23" t="s">
        <v>19</v>
      </c>
      <c r="D33" s="23"/>
      <c r="E33" s="246"/>
      <c r="F33" s="246"/>
      <c r="G33" s="45" t="s">
        <v>73</v>
      </c>
      <c r="H33" s="5"/>
      <c r="I33" s="8"/>
      <c r="J33" s="8"/>
      <c r="K33" s="8"/>
      <c r="L33" s="8"/>
      <c r="M33" s="8"/>
      <c r="N33" s="8"/>
      <c r="O33" s="8"/>
      <c r="P33" s="8"/>
      <c r="Q33" s="8"/>
      <c r="R33" s="8"/>
      <c r="S33" s="7"/>
    </row>
    <row r="34" spans="2:19" ht="12.75" customHeight="1" x14ac:dyDescent="0.2">
      <c r="B34" s="213"/>
      <c r="C34" s="23" t="s">
        <v>20</v>
      </c>
      <c r="D34" s="23"/>
      <c r="E34" s="246"/>
      <c r="F34" s="246"/>
      <c r="G34" s="45" t="s">
        <v>43</v>
      </c>
      <c r="H34" s="5"/>
      <c r="I34" s="237" t="str">
        <f>IF(_R_Cell_A_R&lt;&gt;"",IF(ISNUMBER(_R_Cell_A_R),"","číslo  !"),"")</f>
        <v/>
      </c>
      <c r="J34" s="247"/>
      <c r="K34" s="239"/>
      <c r="L34" s="240"/>
      <c r="M34" s="241"/>
      <c r="N34" s="177" t="s">
        <v>58</v>
      </c>
      <c r="O34" s="177"/>
      <c r="P34" s="177"/>
      <c r="Q34" s="6"/>
      <c r="R34" s="6"/>
      <c r="S34" s="7"/>
    </row>
    <row r="35" spans="2:19" ht="12.75" customHeight="1" x14ac:dyDescent="0.2">
      <c r="B35" s="213"/>
      <c r="C35" s="91" t="s">
        <v>4</v>
      </c>
      <c r="D35" s="23"/>
      <c r="E35" s="80"/>
      <c r="F35" s="81"/>
      <c r="G35" s="45"/>
      <c r="H35" s="5"/>
      <c r="I35" s="8"/>
      <c r="J35" s="8"/>
      <c r="K35" s="8"/>
      <c r="L35" s="8"/>
      <c r="M35" s="8"/>
      <c r="N35" s="8"/>
      <c r="O35" s="8"/>
      <c r="P35" s="8"/>
      <c r="Q35" s="8"/>
      <c r="R35" s="8"/>
      <c r="S35" s="7"/>
    </row>
    <row r="36" spans="2:19" ht="12.75" customHeight="1" x14ac:dyDescent="0.2">
      <c r="B36" s="213"/>
      <c r="C36" s="23"/>
      <c r="D36" s="23" t="s">
        <v>81</v>
      </c>
      <c r="E36" s="246"/>
      <c r="F36" s="246"/>
      <c r="G36" s="45"/>
      <c r="H36" s="10"/>
      <c r="I36" s="178" t="s">
        <v>166</v>
      </c>
      <c r="J36" s="178"/>
      <c r="K36" s="178"/>
      <c r="L36" s="178"/>
      <c r="M36" s="178"/>
      <c r="N36" s="178"/>
      <c r="O36" s="221"/>
      <c r="P36" s="218"/>
      <c r="Q36" s="219"/>
      <c r="R36" s="220"/>
      <c r="S36" s="11"/>
    </row>
    <row r="37" spans="2:19" ht="12.75" customHeight="1" x14ac:dyDescent="0.2">
      <c r="B37" s="213"/>
      <c r="C37" s="23"/>
      <c r="D37" s="23" t="s">
        <v>82</v>
      </c>
      <c r="E37" s="246"/>
      <c r="F37" s="246"/>
      <c r="G37" s="45"/>
      <c r="H37" s="12"/>
      <c r="I37" s="8"/>
      <c r="J37" s="8"/>
      <c r="K37" s="8"/>
      <c r="L37" s="8"/>
      <c r="M37" s="8"/>
      <c r="N37" s="8"/>
      <c r="O37" s="8"/>
      <c r="P37" s="8"/>
      <c r="Q37" s="8"/>
      <c r="R37" s="8"/>
      <c r="S37" s="7"/>
    </row>
    <row r="38" spans="2:19" ht="12.75" customHeight="1" x14ac:dyDescent="0.2">
      <c r="B38" s="213"/>
      <c r="C38" s="23"/>
      <c r="D38" s="23" t="s">
        <v>83</v>
      </c>
      <c r="E38" s="246"/>
      <c r="F38" s="246"/>
      <c r="G38" s="45"/>
      <c r="H38" s="5"/>
      <c r="I38" s="6"/>
      <c r="J38" s="6"/>
      <c r="K38" s="166" t="s">
        <v>57</v>
      </c>
      <c r="L38" s="166"/>
      <c r="M38" s="166"/>
      <c r="N38" s="239"/>
      <c r="O38" s="240"/>
      <c r="P38" s="241"/>
      <c r="Q38" s="236" t="str">
        <f>IF(AND(_R_Cell_B_C&lt;&gt;"",_R_Cell_B_C&lt;&gt;"_MAX_"),IF(ISTEXT(_R_Cell_B_C),"","text  !"),"")</f>
        <v/>
      </c>
      <c r="R38" s="237"/>
      <c r="S38" s="7"/>
    </row>
    <row r="39" spans="2:19" ht="12.75" customHeight="1" x14ac:dyDescent="0.2">
      <c r="B39" s="213"/>
      <c r="C39" s="23"/>
      <c r="D39" s="23" t="s">
        <v>84</v>
      </c>
      <c r="E39" s="246"/>
      <c r="F39" s="246"/>
      <c r="G39" s="45"/>
      <c r="H39" s="5"/>
      <c r="I39" s="8"/>
      <c r="J39" s="8"/>
      <c r="K39" s="8"/>
      <c r="L39" s="8"/>
      <c r="M39" s="8"/>
      <c r="N39" s="8"/>
      <c r="O39" s="8"/>
      <c r="P39" s="8"/>
      <c r="Q39" s="8"/>
      <c r="R39" s="8"/>
      <c r="S39" s="7"/>
    </row>
    <row r="40" spans="2:19" ht="12.75" customHeight="1" x14ac:dyDescent="0.2">
      <c r="B40" s="213"/>
      <c r="C40" s="23"/>
      <c r="D40" s="23" t="s">
        <v>85</v>
      </c>
      <c r="E40" s="246"/>
      <c r="F40" s="246"/>
      <c r="G40" s="45"/>
      <c r="H40" s="5"/>
      <c r="I40" s="6"/>
      <c r="J40" s="6"/>
      <c r="K40" s="166" t="s">
        <v>58</v>
      </c>
      <c r="L40" s="166"/>
      <c r="M40" s="166"/>
      <c r="N40" s="239"/>
      <c r="O40" s="240"/>
      <c r="P40" s="241"/>
      <c r="Q40" s="236" t="str">
        <f>IF(AND(_R_Cell_B_R&lt;&gt;"",_R_Cell_B_R&lt;&gt;"_MAX_"),IF(ISNUMBER(_R_Cell_B_R),"","číslo  !"),"")</f>
        <v/>
      </c>
      <c r="R40" s="237"/>
      <c r="S40" s="7"/>
    </row>
    <row r="41" spans="2:19" ht="12.75" customHeight="1" x14ac:dyDescent="0.2">
      <c r="B41" s="213"/>
      <c r="C41" s="23"/>
      <c r="D41" s="23" t="s">
        <v>86</v>
      </c>
      <c r="E41" s="246"/>
      <c r="F41" s="246"/>
      <c r="G41" s="45"/>
      <c r="H41" s="5"/>
      <c r="I41" s="8"/>
      <c r="J41" s="8"/>
      <c r="K41" s="8"/>
      <c r="L41" s="8"/>
      <c r="M41" s="8"/>
      <c r="N41" s="8"/>
      <c r="O41" s="8"/>
      <c r="P41" s="8"/>
      <c r="Q41" s="8"/>
      <c r="R41" s="8"/>
      <c r="S41" s="7"/>
    </row>
    <row r="42" spans="2:19" ht="12.75" customHeight="1" x14ac:dyDescent="0.2">
      <c r="B42" s="213"/>
      <c r="C42" s="23"/>
      <c r="D42" s="23" t="s">
        <v>87</v>
      </c>
      <c r="E42" s="246"/>
      <c r="F42" s="246"/>
      <c r="G42" s="45"/>
      <c r="H42" s="5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7"/>
    </row>
    <row r="43" spans="2:19" ht="12.75" customHeight="1" x14ac:dyDescent="0.2">
      <c r="B43" s="214"/>
      <c r="C43" s="24"/>
      <c r="D43" s="24" t="s">
        <v>88</v>
      </c>
      <c r="E43" s="250"/>
      <c r="F43" s="250"/>
      <c r="G43" s="46"/>
      <c r="H43" s="5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7"/>
    </row>
    <row r="44" spans="2:19" ht="12.75" customHeight="1" x14ac:dyDescent="0.2">
      <c r="B44" s="185" t="s">
        <v>68</v>
      </c>
      <c r="C44" s="33"/>
      <c r="D44" s="33"/>
      <c r="E44" s="76"/>
      <c r="F44" s="76"/>
      <c r="G44" s="66"/>
      <c r="H44" s="5"/>
      <c r="I44" s="6"/>
      <c r="J44" s="6"/>
      <c r="K44" s="6"/>
      <c r="L44" s="6"/>
      <c r="M44" s="6"/>
      <c r="N44" s="6"/>
      <c r="O44" s="6"/>
      <c r="P44" s="6"/>
      <c r="Q44" s="6"/>
      <c r="R44" s="6"/>
      <c r="S44" s="37" t="s">
        <v>115</v>
      </c>
    </row>
    <row r="45" spans="2:19" ht="12.75" customHeight="1" x14ac:dyDescent="0.2">
      <c r="B45" s="186"/>
      <c r="C45" s="25" t="s">
        <v>89</v>
      </c>
      <c r="D45" s="25"/>
      <c r="E45" s="251"/>
      <c r="F45" s="251"/>
      <c r="G45" s="47"/>
      <c r="H45" s="155" t="s">
        <v>52</v>
      </c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7"/>
    </row>
    <row r="46" spans="2:19" ht="12.75" customHeight="1" x14ac:dyDescent="0.2">
      <c r="B46" s="187"/>
      <c r="C46" s="26" t="s">
        <v>90</v>
      </c>
      <c r="D46" s="26"/>
      <c r="E46" s="252"/>
      <c r="F46" s="252"/>
      <c r="G46" s="48"/>
      <c r="H46" s="158" t="s">
        <v>69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60"/>
    </row>
    <row r="47" spans="2:19" ht="12.75" customHeight="1" x14ac:dyDescent="0.2">
      <c r="B47" s="179" t="s">
        <v>61</v>
      </c>
      <c r="C47" s="34"/>
      <c r="D47" s="34"/>
      <c r="E47" s="77"/>
      <c r="F47" s="77"/>
      <c r="G47" s="67"/>
      <c r="H47" s="5"/>
      <c r="I47" s="6"/>
      <c r="J47" s="6"/>
      <c r="K47" s="6"/>
      <c r="L47" s="6"/>
      <c r="M47" s="6"/>
      <c r="N47" s="6"/>
      <c r="O47" s="6"/>
      <c r="P47" s="6"/>
      <c r="Q47" s="6"/>
      <c r="R47" s="6"/>
      <c r="S47" s="7"/>
    </row>
    <row r="48" spans="2:19" ht="12.75" customHeight="1" x14ac:dyDescent="0.2">
      <c r="B48" s="180"/>
      <c r="C48" s="27" t="s">
        <v>70</v>
      </c>
      <c r="D48" s="27"/>
      <c r="E48" s="248"/>
      <c r="F48" s="248"/>
      <c r="G48" s="49"/>
      <c r="H48" s="5"/>
      <c r="I48" s="6"/>
      <c r="J48" s="6"/>
      <c r="K48" s="6"/>
      <c r="L48" s="6"/>
      <c r="M48" s="86"/>
      <c r="N48" s="6"/>
      <c r="O48" s="6"/>
      <c r="P48" s="6"/>
      <c r="Q48" s="6"/>
      <c r="R48" s="6"/>
      <c r="S48" s="7"/>
    </row>
    <row r="49" spans="2:19" ht="12.75" customHeight="1" thickBot="1" x14ac:dyDescent="0.25">
      <c r="B49" s="181"/>
      <c r="C49" s="56" t="s">
        <v>71</v>
      </c>
      <c r="D49" s="56"/>
      <c r="E49" s="249"/>
      <c r="F49" s="249"/>
      <c r="G49" s="57"/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  <row r="50" spans="2:19" ht="7.5" customHeight="1" thickTop="1" x14ac:dyDescent="0.2"/>
    <row r="51" spans="2:19" x14ac:dyDescent="0.2">
      <c r="B51" s="36" t="s">
        <v>64</v>
      </c>
      <c r="C51" s="87" t="s">
        <v>66</v>
      </c>
      <c r="D51" s="59" t="s">
        <v>65</v>
      </c>
      <c r="E51" s="151"/>
      <c r="G51" s="35"/>
      <c r="N51" s="84"/>
      <c r="O51" s="154"/>
      <c r="P51" s="154"/>
      <c r="Q51" s="154"/>
      <c r="R51" s="154"/>
      <c r="S51" s="154"/>
    </row>
    <row r="52" spans="2:19" x14ac:dyDescent="0.2">
      <c r="B52" s="36"/>
      <c r="C52" s="87"/>
      <c r="D52" s="59"/>
      <c r="E52" s="87"/>
      <c r="G52" s="35"/>
      <c r="N52" s="84"/>
      <c r="O52" s="94"/>
      <c r="P52" s="94"/>
      <c r="Q52" s="94"/>
      <c r="R52" s="94"/>
      <c r="S52" s="94"/>
    </row>
    <row r="53" spans="2:19" x14ac:dyDescent="0.2">
      <c r="B53" s="36"/>
      <c r="C53" s="87"/>
      <c r="D53" s="88" t="s">
        <v>78</v>
      </c>
      <c r="E53" s="89"/>
      <c r="F53" s="8"/>
      <c r="G53" s="8"/>
      <c r="H53" s="1"/>
      <c r="I53" s="1"/>
      <c r="J53" s="1"/>
      <c r="N53" s="84"/>
      <c r="O53" s="94"/>
      <c r="P53" s="94"/>
      <c r="Q53" s="94"/>
      <c r="R53" s="94"/>
      <c r="S53" s="94"/>
    </row>
    <row r="54" spans="2:19" ht="8.25" customHeight="1" x14ac:dyDescent="0.2"/>
  </sheetData>
  <sheetProtection selectLockedCells="1"/>
  <mergeCells count="84">
    <mergeCell ref="B47:B49"/>
    <mergeCell ref="E48:F48"/>
    <mergeCell ref="E49:F49"/>
    <mergeCell ref="O51:S51"/>
    <mergeCell ref="E41:F41"/>
    <mergeCell ref="E42:F42"/>
    <mergeCell ref="E43:F43"/>
    <mergeCell ref="B44:B46"/>
    <mergeCell ref="E45:F45"/>
    <mergeCell ref="H45:S45"/>
    <mergeCell ref="E46:F46"/>
    <mergeCell ref="H46:S46"/>
    <mergeCell ref="B32:B43"/>
    <mergeCell ref="I32:J32"/>
    <mergeCell ref="K32:M32"/>
    <mergeCell ref="N32:P32"/>
    <mergeCell ref="Q40:R40"/>
    <mergeCell ref="K34:M34"/>
    <mergeCell ref="N34:P34"/>
    <mergeCell ref="E36:F36"/>
    <mergeCell ref="I36:O36"/>
    <mergeCell ref="P36:R36"/>
    <mergeCell ref="E37:F37"/>
    <mergeCell ref="E38:F38"/>
    <mergeCell ref="K38:M38"/>
    <mergeCell ref="N38:P38"/>
    <mergeCell ref="Q38:R38"/>
    <mergeCell ref="E39:F39"/>
    <mergeCell ref="N40:P40"/>
    <mergeCell ref="E33:F33"/>
    <mergeCell ref="E34:F34"/>
    <mergeCell ref="I34:J34"/>
    <mergeCell ref="E40:F40"/>
    <mergeCell ref="K40:M40"/>
    <mergeCell ref="K17:M17"/>
    <mergeCell ref="B17:B26"/>
    <mergeCell ref="I30:K30"/>
    <mergeCell ref="L30:R30"/>
    <mergeCell ref="E31:F31"/>
    <mergeCell ref="E24:F24"/>
    <mergeCell ref="H24:S24"/>
    <mergeCell ref="B27:B31"/>
    <mergeCell ref="E28:F28"/>
    <mergeCell ref="I28:K28"/>
    <mergeCell ref="L28:R28"/>
    <mergeCell ref="E29:F29"/>
    <mergeCell ref="E30:F30"/>
    <mergeCell ref="N17:P17"/>
    <mergeCell ref="Q17:R17"/>
    <mergeCell ref="E25:F25"/>
    <mergeCell ref="E26:F26"/>
    <mergeCell ref="I26:K26"/>
    <mergeCell ref="L26:R26"/>
    <mergeCell ref="E18:F18"/>
    <mergeCell ref="E19:F19"/>
    <mergeCell ref="E20:F20"/>
    <mergeCell ref="E21:F21"/>
    <mergeCell ref="E23:F23"/>
    <mergeCell ref="H23:S23"/>
    <mergeCell ref="B10:B16"/>
    <mergeCell ref="E11:F11"/>
    <mergeCell ref="I11:K11"/>
    <mergeCell ref="L11:R11"/>
    <mergeCell ref="E12:F12"/>
    <mergeCell ref="E13:F13"/>
    <mergeCell ref="I13:O13"/>
    <mergeCell ref="P13:R13"/>
    <mergeCell ref="E14:F14"/>
    <mergeCell ref="Q15:R15"/>
    <mergeCell ref="E16:F16"/>
    <mergeCell ref="E15:F15"/>
    <mergeCell ref="K15:M15"/>
    <mergeCell ref="N15:P15"/>
    <mergeCell ref="C4:D4"/>
    <mergeCell ref="E4:F4"/>
    <mergeCell ref="H4:S5"/>
    <mergeCell ref="B6:B9"/>
    <mergeCell ref="H6:S6"/>
    <mergeCell ref="E7:F7"/>
    <mergeCell ref="H7:S7"/>
    <mergeCell ref="E8:F8"/>
    <mergeCell ref="E9:F9"/>
    <mergeCell ref="I9:K9"/>
    <mergeCell ref="L9:R9"/>
  </mergeCells>
  <printOptions horizontalCentered="1"/>
  <pageMargins left="0.11811023622047245" right="0.11811023622047245" top="0.23622047244094491" bottom="0.19685039370078741" header="0.15748031496062992" footer="0.11811023622047245"/>
  <pageSetup paperSize="9" scale="85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_03_">
    <pageSetUpPr fitToPage="1"/>
  </sheetPr>
  <dimension ref="A1:S54"/>
  <sheetViews>
    <sheetView showGridLines="0" zoomScaleNormal="100" workbookViewId="0"/>
  </sheetViews>
  <sheetFormatPr defaultRowHeight="12.75" x14ac:dyDescent="0.2"/>
  <cols>
    <col min="1" max="1" width="1.140625" customWidth="1"/>
    <col min="2" max="2" width="19.42578125" customWidth="1"/>
    <col min="3" max="3" width="19.28515625" customWidth="1"/>
    <col min="4" max="4" width="20" customWidth="1"/>
    <col min="5" max="6" width="6.42578125" customWidth="1"/>
    <col min="7" max="7" width="43" customWidth="1"/>
    <col min="8" max="8" width="1.85546875" customWidth="1"/>
    <col min="9" max="18" width="4" customWidth="1"/>
    <col min="19" max="19" width="1.85546875" customWidth="1"/>
    <col min="20" max="20" width="1.140625" customWidth="1"/>
  </cols>
  <sheetData>
    <row r="1" spans="1:19" ht="7.5" customHeight="1" x14ac:dyDescent="0.2"/>
    <row r="3" spans="1:19" ht="7.5" customHeight="1" thickBot="1" x14ac:dyDescent="0.25">
      <c r="A3" s="85"/>
    </row>
    <row r="4" spans="1:19" ht="24.75" customHeight="1" thickTop="1" thickBot="1" x14ac:dyDescent="0.25">
      <c r="B4" s="90" t="s">
        <v>95</v>
      </c>
      <c r="C4" s="188" t="s">
        <v>96</v>
      </c>
      <c r="D4" s="188"/>
      <c r="E4" s="188" t="s">
        <v>97</v>
      </c>
      <c r="F4" s="188"/>
      <c r="G4" s="93" t="s">
        <v>98</v>
      </c>
      <c r="H4" s="197" t="s">
        <v>107</v>
      </c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9"/>
    </row>
    <row r="5" spans="1:19" ht="17.25" customHeight="1" thickBot="1" x14ac:dyDescent="0.25">
      <c r="B5" s="2"/>
      <c r="C5" s="3"/>
      <c r="D5" s="4" t="s">
        <v>167</v>
      </c>
      <c r="E5" s="69"/>
      <c r="F5" s="70"/>
      <c r="G5" s="38" t="s">
        <v>99</v>
      </c>
      <c r="H5" s="200"/>
      <c r="I5" s="201"/>
      <c r="J5" s="201"/>
      <c r="K5" s="201"/>
      <c r="L5" s="201"/>
      <c r="M5" s="201"/>
      <c r="N5" s="201"/>
      <c r="O5" s="201"/>
      <c r="P5" s="201"/>
      <c r="Q5" s="201"/>
      <c r="R5" s="201"/>
      <c r="S5" s="202"/>
    </row>
    <row r="6" spans="1:19" ht="12.75" customHeight="1" x14ac:dyDescent="0.2">
      <c r="B6" s="215" t="s">
        <v>5</v>
      </c>
      <c r="C6" s="29"/>
      <c r="D6" s="29"/>
      <c r="E6" s="68"/>
      <c r="F6" s="71"/>
      <c r="G6" s="62"/>
      <c r="H6" s="203" t="s">
        <v>106</v>
      </c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5"/>
    </row>
    <row r="7" spans="1:19" ht="12.75" customHeight="1" x14ac:dyDescent="0.2">
      <c r="B7" s="216"/>
      <c r="C7" s="19" t="s">
        <v>100</v>
      </c>
      <c r="D7" s="19"/>
      <c r="E7" s="230"/>
      <c r="F7" s="230"/>
      <c r="G7" s="39" t="s">
        <v>103</v>
      </c>
      <c r="H7" s="171" t="s">
        <v>108</v>
      </c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</row>
    <row r="8" spans="1:19" ht="12.75" customHeight="1" x14ac:dyDescent="0.2">
      <c r="B8" s="216"/>
      <c r="C8" s="28" t="s">
        <v>101</v>
      </c>
      <c r="D8" s="28"/>
      <c r="E8" s="230"/>
      <c r="F8" s="230"/>
      <c r="G8" s="39" t="s">
        <v>104</v>
      </c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7"/>
    </row>
    <row r="9" spans="1:19" ht="12.75" customHeight="1" x14ac:dyDescent="0.2">
      <c r="B9" s="217"/>
      <c r="C9" s="50" t="s">
        <v>102</v>
      </c>
      <c r="D9" s="50"/>
      <c r="E9" s="231"/>
      <c r="F9" s="231"/>
      <c r="G9" s="40" t="s">
        <v>105</v>
      </c>
      <c r="H9" s="5"/>
      <c r="I9" s="178" t="s">
        <v>109</v>
      </c>
      <c r="J9" s="178"/>
      <c r="K9" s="178"/>
      <c r="L9" s="232"/>
      <c r="M9" s="233"/>
      <c r="N9" s="233"/>
      <c r="O9" s="233"/>
      <c r="P9" s="233"/>
      <c r="Q9" s="233"/>
      <c r="R9" s="234"/>
      <c r="S9" s="7"/>
    </row>
    <row r="10" spans="1:19" ht="12.75" customHeight="1" x14ac:dyDescent="0.2">
      <c r="B10" s="223" t="s">
        <v>123</v>
      </c>
      <c r="C10" s="60"/>
      <c r="D10" s="60"/>
      <c r="E10" s="72"/>
      <c r="F10" s="72"/>
      <c r="G10" s="61"/>
      <c r="H10" s="5"/>
      <c r="I10" s="6"/>
      <c r="J10" s="6"/>
      <c r="K10" s="6"/>
      <c r="L10" s="6"/>
      <c r="M10" s="6"/>
      <c r="N10" s="6"/>
      <c r="O10" s="6"/>
      <c r="P10" s="6"/>
      <c r="Q10" s="6"/>
      <c r="R10" s="6"/>
      <c r="S10" s="7"/>
    </row>
    <row r="11" spans="1:19" ht="12.75" customHeight="1" x14ac:dyDescent="0.2">
      <c r="B11" s="224"/>
      <c r="C11" s="51" t="s">
        <v>129</v>
      </c>
      <c r="D11" s="51"/>
      <c r="E11" s="235"/>
      <c r="F11" s="235"/>
      <c r="G11" s="52" t="s">
        <v>39</v>
      </c>
      <c r="H11" s="5"/>
      <c r="I11" s="178" t="s">
        <v>110</v>
      </c>
      <c r="J11" s="178"/>
      <c r="K11" s="178"/>
      <c r="L11" s="232"/>
      <c r="M11" s="233"/>
      <c r="N11" s="233"/>
      <c r="O11" s="233"/>
      <c r="P11" s="233"/>
      <c r="Q11" s="233"/>
      <c r="R11" s="234"/>
      <c r="S11" s="7"/>
    </row>
    <row r="12" spans="1:19" ht="12.75" customHeight="1" x14ac:dyDescent="0.2">
      <c r="B12" s="224"/>
      <c r="C12" s="51" t="s">
        <v>130</v>
      </c>
      <c r="D12" s="51"/>
      <c r="E12" s="235"/>
      <c r="F12" s="235"/>
      <c r="G12" s="52" t="s">
        <v>154</v>
      </c>
      <c r="H12" s="5"/>
      <c r="I12" s="6"/>
      <c r="J12" s="6"/>
      <c r="K12" s="6"/>
      <c r="L12" s="6"/>
      <c r="M12" s="6"/>
      <c r="N12" s="6"/>
      <c r="O12" s="6"/>
      <c r="P12" s="6"/>
      <c r="Q12" s="6"/>
      <c r="R12" s="6"/>
      <c r="S12" s="7"/>
    </row>
    <row r="13" spans="1:19" ht="12.75" customHeight="1" x14ac:dyDescent="0.2">
      <c r="B13" s="224"/>
      <c r="C13" s="51" t="s">
        <v>131</v>
      </c>
      <c r="D13" s="51"/>
      <c r="E13" s="235"/>
      <c r="F13" s="235"/>
      <c r="G13" s="53" t="s">
        <v>41</v>
      </c>
      <c r="H13" s="5"/>
      <c r="I13" s="178" t="s">
        <v>111</v>
      </c>
      <c r="J13" s="178"/>
      <c r="K13" s="178"/>
      <c r="L13" s="178"/>
      <c r="M13" s="178"/>
      <c r="N13" s="178"/>
      <c r="O13" s="221"/>
      <c r="P13" s="218"/>
      <c r="Q13" s="219"/>
      <c r="R13" s="220"/>
      <c r="S13" s="7"/>
    </row>
    <row r="14" spans="1:19" ht="12.75" customHeight="1" x14ac:dyDescent="0.2">
      <c r="B14" s="224"/>
      <c r="C14" s="51" t="s">
        <v>132</v>
      </c>
      <c r="D14" s="51"/>
      <c r="E14" s="235"/>
      <c r="F14" s="235"/>
      <c r="G14" s="52" t="s">
        <v>155</v>
      </c>
      <c r="H14" s="5"/>
      <c r="I14" s="6"/>
      <c r="J14" s="6"/>
      <c r="K14" s="8"/>
      <c r="L14" s="6"/>
      <c r="M14" s="6"/>
      <c r="N14" s="6"/>
      <c r="O14" s="8"/>
      <c r="P14" s="8"/>
      <c r="Q14" s="8"/>
      <c r="R14" s="6"/>
      <c r="S14" s="7"/>
    </row>
    <row r="15" spans="1:19" ht="12.75" customHeight="1" x14ac:dyDescent="0.2">
      <c r="B15" s="224"/>
      <c r="C15" s="51" t="s">
        <v>133</v>
      </c>
      <c r="D15" s="51"/>
      <c r="E15" s="235"/>
      <c r="F15" s="235"/>
      <c r="G15" s="52" t="s">
        <v>156</v>
      </c>
      <c r="H15" s="5"/>
      <c r="I15" s="6"/>
      <c r="J15" s="6"/>
      <c r="K15" s="166" t="s">
        <v>112</v>
      </c>
      <c r="L15" s="166"/>
      <c r="M15" s="166"/>
      <c r="N15" s="239"/>
      <c r="O15" s="240"/>
      <c r="P15" s="241"/>
      <c r="Q15" s="236" t="str">
        <f>IF(_C_Cell_C&lt;&gt;"",IF(ISTEXT(_C_Cell_C),"","text  !"),"")</f>
        <v/>
      </c>
      <c r="R15" s="237"/>
      <c r="S15" s="7"/>
    </row>
    <row r="16" spans="1:19" ht="12.75" customHeight="1" x14ac:dyDescent="0.2">
      <c r="B16" s="225"/>
      <c r="C16" s="54" t="s">
        <v>134</v>
      </c>
      <c r="D16" s="54"/>
      <c r="E16" s="238"/>
      <c r="F16" s="238"/>
      <c r="G16" s="55" t="s">
        <v>157</v>
      </c>
      <c r="H16" s="5"/>
      <c r="I16" s="6"/>
      <c r="J16" s="6"/>
      <c r="K16" s="6"/>
      <c r="L16" s="6"/>
      <c r="M16" s="6"/>
      <c r="N16" s="6"/>
      <c r="O16" s="6"/>
      <c r="P16" s="6"/>
      <c r="Q16" s="6"/>
      <c r="R16" s="6"/>
      <c r="S16" s="7"/>
    </row>
    <row r="17" spans="2:19" ht="12.75" customHeight="1" x14ac:dyDescent="0.2">
      <c r="B17" s="206" t="s">
        <v>124</v>
      </c>
      <c r="C17" s="30"/>
      <c r="D17" s="30"/>
      <c r="E17" s="73"/>
      <c r="F17" s="73"/>
      <c r="G17" s="63"/>
      <c r="H17" s="5"/>
      <c r="I17" s="6"/>
      <c r="J17" s="6"/>
      <c r="K17" s="166" t="s">
        <v>113</v>
      </c>
      <c r="L17" s="166"/>
      <c r="M17" s="166"/>
      <c r="N17" s="239"/>
      <c r="O17" s="240"/>
      <c r="P17" s="241"/>
      <c r="Q17" s="236" t="str">
        <f>IF(_C_Cell_R&lt;&gt;"",IF(ISNUMBER(_C_Cell_R),"","číslo  !"),"")</f>
        <v/>
      </c>
      <c r="R17" s="237"/>
      <c r="S17" s="7"/>
    </row>
    <row r="18" spans="2:19" ht="12.75" customHeight="1" x14ac:dyDescent="0.2">
      <c r="B18" s="207"/>
      <c r="C18" s="16" t="s">
        <v>135</v>
      </c>
      <c r="D18" s="16"/>
      <c r="E18" s="243"/>
      <c r="F18" s="243"/>
      <c r="G18" s="41" t="s">
        <v>158</v>
      </c>
      <c r="H18" s="5"/>
      <c r="I18" s="6"/>
      <c r="J18" s="6"/>
      <c r="K18" s="6"/>
      <c r="L18" s="6"/>
      <c r="M18" s="6"/>
      <c r="N18" s="6"/>
      <c r="O18" s="6"/>
      <c r="P18" s="6"/>
      <c r="Q18" s="6"/>
      <c r="R18" s="6"/>
      <c r="S18" s="7"/>
    </row>
    <row r="19" spans="2:19" ht="12.75" customHeight="1" x14ac:dyDescent="0.2">
      <c r="B19" s="207"/>
      <c r="C19" s="16" t="s">
        <v>136</v>
      </c>
      <c r="D19" s="16"/>
      <c r="E19" s="243"/>
      <c r="F19" s="243"/>
      <c r="G19" s="41" t="s">
        <v>159</v>
      </c>
      <c r="H19" s="5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7"/>
    </row>
    <row r="20" spans="2:19" ht="12.75" customHeight="1" x14ac:dyDescent="0.2">
      <c r="B20" s="207"/>
      <c r="C20" s="17" t="s">
        <v>137</v>
      </c>
      <c r="D20" s="16"/>
      <c r="E20" s="243"/>
      <c r="F20" s="243"/>
      <c r="G20" s="41" t="s">
        <v>47</v>
      </c>
      <c r="H20" s="5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7"/>
    </row>
    <row r="21" spans="2:19" ht="12.75" customHeight="1" x14ac:dyDescent="0.2">
      <c r="B21" s="207"/>
      <c r="C21" s="16" t="s">
        <v>138</v>
      </c>
      <c r="D21" s="16"/>
      <c r="E21" s="243"/>
      <c r="F21" s="243"/>
      <c r="G21" s="42" t="s">
        <v>160</v>
      </c>
      <c r="H21" s="5"/>
      <c r="I21" s="8"/>
      <c r="J21" s="8"/>
      <c r="K21" s="8"/>
      <c r="L21" s="8"/>
      <c r="M21" s="8"/>
      <c r="N21" s="6"/>
      <c r="O21" s="6"/>
      <c r="P21" s="6"/>
      <c r="Q21" s="6"/>
      <c r="R21" s="6"/>
      <c r="S21" s="7"/>
    </row>
    <row r="22" spans="2:19" ht="12.75" customHeight="1" x14ac:dyDescent="0.2">
      <c r="B22" s="207"/>
      <c r="C22" s="92" t="s">
        <v>139</v>
      </c>
      <c r="D22" s="16"/>
      <c r="E22" s="78"/>
      <c r="F22" s="79"/>
      <c r="G22" s="41"/>
      <c r="H22" s="5"/>
      <c r="I22" s="6"/>
      <c r="J22" s="6"/>
      <c r="K22" s="6"/>
      <c r="L22" s="6"/>
      <c r="M22" s="6"/>
      <c r="N22" s="6"/>
      <c r="O22" s="6"/>
      <c r="P22" s="6"/>
      <c r="Q22" s="6"/>
      <c r="R22" s="8"/>
      <c r="S22" s="37" t="s">
        <v>116</v>
      </c>
    </row>
    <row r="23" spans="2:19" ht="12.75" customHeight="1" x14ac:dyDescent="0.2">
      <c r="B23" s="207"/>
      <c r="C23" s="16"/>
      <c r="D23" s="16" t="s">
        <v>140</v>
      </c>
      <c r="E23" s="243"/>
      <c r="F23" s="243"/>
      <c r="G23" s="41"/>
      <c r="H23" s="168" t="s">
        <v>117</v>
      </c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70"/>
    </row>
    <row r="24" spans="2:19" ht="12.75" customHeight="1" x14ac:dyDescent="0.2">
      <c r="B24" s="207"/>
      <c r="C24" s="16"/>
      <c r="D24" s="16" t="s">
        <v>141</v>
      </c>
      <c r="E24" s="243"/>
      <c r="F24" s="243"/>
      <c r="G24" s="41"/>
      <c r="H24" s="171" t="s">
        <v>118</v>
      </c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3"/>
    </row>
    <row r="25" spans="2:19" ht="12.75" customHeight="1" x14ac:dyDescent="0.2">
      <c r="B25" s="207"/>
      <c r="C25" s="16"/>
      <c r="D25" s="16" t="s">
        <v>142</v>
      </c>
      <c r="E25" s="243"/>
      <c r="F25" s="243"/>
      <c r="G25" s="41"/>
      <c r="H25" s="5"/>
      <c r="I25" s="6"/>
      <c r="J25" s="6"/>
      <c r="K25" s="6"/>
      <c r="L25" s="6"/>
      <c r="M25" s="6"/>
      <c r="N25" s="6"/>
      <c r="O25" s="6"/>
      <c r="P25" s="6"/>
      <c r="Q25" s="6"/>
      <c r="R25" s="6"/>
      <c r="S25" s="7"/>
    </row>
    <row r="26" spans="2:19" ht="12.75" customHeight="1" x14ac:dyDescent="0.2">
      <c r="B26" s="208"/>
      <c r="C26" s="18" t="s">
        <v>143</v>
      </c>
      <c r="D26" s="18"/>
      <c r="E26" s="242"/>
      <c r="F26" s="242"/>
      <c r="G26" s="43" t="s">
        <v>161</v>
      </c>
      <c r="H26" s="5"/>
      <c r="I26" s="178" t="s">
        <v>109</v>
      </c>
      <c r="J26" s="178"/>
      <c r="K26" s="178"/>
      <c r="L26" s="232"/>
      <c r="M26" s="233"/>
      <c r="N26" s="233"/>
      <c r="O26" s="233"/>
      <c r="P26" s="233"/>
      <c r="Q26" s="233"/>
      <c r="R26" s="234"/>
      <c r="S26" s="7"/>
    </row>
    <row r="27" spans="2:19" ht="12.75" customHeight="1" x14ac:dyDescent="0.2">
      <c r="B27" s="209" t="s">
        <v>125</v>
      </c>
      <c r="C27" s="31"/>
      <c r="D27" s="31"/>
      <c r="E27" s="74"/>
      <c r="F27" s="74"/>
      <c r="G27" s="64"/>
      <c r="H27" s="5"/>
      <c r="I27" s="6"/>
      <c r="J27" s="6"/>
      <c r="K27" s="6"/>
      <c r="L27" s="6"/>
      <c r="M27" s="6"/>
      <c r="N27" s="6"/>
      <c r="O27" s="6"/>
      <c r="P27" s="6"/>
      <c r="Q27" s="6"/>
      <c r="R27" s="6"/>
      <c r="S27" s="7"/>
    </row>
    <row r="28" spans="2:19" ht="12.75" customHeight="1" x14ac:dyDescent="0.2">
      <c r="B28" s="210"/>
      <c r="C28" s="20" t="s">
        <v>144</v>
      </c>
      <c r="D28" s="20"/>
      <c r="E28" s="245"/>
      <c r="F28" s="245"/>
      <c r="G28" s="44" t="s">
        <v>162</v>
      </c>
      <c r="H28" s="5"/>
      <c r="I28" s="178" t="s">
        <v>110</v>
      </c>
      <c r="J28" s="178"/>
      <c r="K28" s="178"/>
      <c r="L28" s="232"/>
      <c r="M28" s="233"/>
      <c r="N28" s="233"/>
      <c r="O28" s="233"/>
      <c r="P28" s="233"/>
      <c r="Q28" s="233"/>
      <c r="R28" s="234"/>
      <c r="S28" s="7"/>
    </row>
    <row r="29" spans="2:19" ht="12.75" customHeight="1" x14ac:dyDescent="0.2">
      <c r="B29" s="210"/>
      <c r="C29" s="21" t="s">
        <v>145</v>
      </c>
      <c r="D29" s="21"/>
      <c r="E29" s="245"/>
      <c r="F29" s="245"/>
      <c r="G29" s="44" t="s">
        <v>156</v>
      </c>
      <c r="H29" s="5"/>
      <c r="I29" s="6"/>
      <c r="J29" s="6"/>
      <c r="K29" s="6"/>
      <c r="L29" s="6"/>
      <c r="M29" s="6"/>
      <c r="N29" s="6"/>
      <c r="O29" s="6"/>
      <c r="P29" s="6"/>
      <c r="Q29" s="6"/>
      <c r="R29" s="6"/>
      <c r="S29" s="7"/>
    </row>
    <row r="30" spans="2:19" ht="12.75" customHeight="1" x14ac:dyDescent="0.2">
      <c r="B30" s="210"/>
      <c r="C30" s="20" t="s">
        <v>146</v>
      </c>
      <c r="D30" s="20"/>
      <c r="E30" s="245"/>
      <c r="F30" s="245"/>
      <c r="G30" s="44"/>
      <c r="H30" s="5"/>
      <c r="I30" s="218"/>
      <c r="J30" s="219"/>
      <c r="K30" s="220"/>
      <c r="L30" s="226" t="s">
        <v>168</v>
      </c>
      <c r="M30" s="227"/>
      <c r="N30" s="227"/>
      <c r="O30" s="227"/>
      <c r="P30" s="227"/>
      <c r="Q30" s="227"/>
      <c r="R30" s="227"/>
      <c r="S30" s="7"/>
    </row>
    <row r="31" spans="2:19" ht="12.75" customHeight="1" x14ac:dyDescent="0.2">
      <c r="B31" s="211"/>
      <c r="C31" s="83" t="s">
        <v>147</v>
      </c>
      <c r="D31" s="22"/>
      <c r="E31" s="244"/>
      <c r="F31" s="244"/>
      <c r="G31" s="58"/>
      <c r="H31" s="5"/>
      <c r="I31" s="6"/>
      <c r="J31" s="6"/>
      <c r="K31" s="9"/>
      <c r="L31" s="6"/>
      <c r="M31" s="6"/>
      <c r="N31" s="6"/>
      <c r="O31" s="6"/>
      <c r="P31" s="6"/>
      <c r="Q31" s="6"/>
      <c r="R31" s="6"/>
      <c r="S31" s="7"/>
    </row>
    <row r="32" spans="2:19" ht="12.75" customHeight="1" x14ac:dyDescent="0.2">
      <c r="B32" s="212" t="s">
        <v>126</v>
      </c>
      <c r="C32" s="32"/>
      <c r="D32" s="32"/>
      <c r="E32" s="75"/>
      <c r="F32" s="75"/>
      <c r="G32" s="65"/>
      <c r="H32" s="5"/>
      <c r="I32" s="237" t="str">
        <f>IF(_R_Cell_A_C&lt;&gt;"",IF(ISTEXT(_R_Cell_A_C),"","text  !"),"")</f>
        <v/>
      </c>
      <c r="J32" s="247"/>
      <c r="K32" s="239"/>
      <c r="L32" s="240"/>
      <c r="M32" s="241"/>
      <c r="N32" s="177" t="s">
        <v>112</v>
      </c>
      <c r="O32" s="177"/>
      <c r="P32" s="177"/>
      <c r="Q32" s="6"/>
      <c r="R32" s="6"/>
      <c r="S32" s="7"/>
    </row>
    <row r="33" spans="2:19" ht="12.75" customHeight="1" x14ac:dyDescent="0.2">
      <c r="B33" s="213"/>
      <c r="C33" s="23" t="s">
        <v>148</v>
      </c>
      <c r="D33" s="23"/>
      <c r="E33" s="246"/>
      <c r="F33" s="246"/>
      <c r="G33" s="45" t="s">
        <v>163</v>
      </c>
      <c r="H33" s="5"/>
      <c r="I33" s="8"/>
      <c r="J33" s="8"/>
      <c r="K33" s="8"/>
      <c r="L33" s="8"/>
      <c r="M33" s="8"/>
      <c r="N33" s="8"/>
      <c r="O33" s="8"/>
      <c r="P33" s="8"/>
      <c r="Q33" s="8"/>
      <c r="R33" s="8"/>
      <c r="S33" s="7"/>
    </row>
    <row r="34" spans="2:19" ht="12.75" customHeight="1" x14ac:dyDescent="0.2">
      <c r="B34" s="213"/>
      <c r="C34" s="23" t="s">
        <v>149</v>
      </c>
      <c r="D34" s="23"/>
      <c r="E34" s="246"/>
      <c r="F34" s="246"/>
      <c r="G34" s="45" t="s">
        <v>156</v>
      </c>
      <c r="H34" s="5"/>
      <c r="I34" s="237" t="str">
        <f>IF(_R_Cell_A_R&lt;&gt;"",IF(ISNUMBER(_R_Cell_A_R),"","číslo  !"),"")</f>
        <v/>
      </c>
      <c r="J34" s="247"/>
      <c r="K34" s="239"/>
      <c r="L34" s="240"/>
      <c r="M34" s="241"/>
      <c r="N34" s="177" t="s">
        <v>113</v>
      </c>
      <c r="O34" s="177"/>
      <c r="P34" s="177"/>
      <c r="Q34" s="6"/>
      <c r="R34" s="6"/>
      <c r="S34" s="7"/>
    </row>
    <row r="35" spans="2:19" ht="12.75" customHeight="1" x14ac:dyDescent="0.2">
      <c r="B35" s="213"/>
      <c r="C35" s="91" t="s">
        <v>126</v>
      </c>
      <c r="D35" s="23"/>
      <c r="E35" s="80"/>
      <c r="F35" s="81"/>
      <c r="G35" s="45"/>
      <c r="H35" s="5"/>
      <c r="I35" s="8"/>
      <c r="J35" s="8"/>
      <c r="K35" s="8"/>
      <c r="L35" s="8"/>
      <c r="M35" s="8"/>
      <c r="N35" s="8"/>
      <c r="O35" s="8"/>
      <c r="P35" s="8"/>
      <c r="Q35" s="8"/>
      <c r="R35" s="8"/>
      <c r="S35" s="7"/>
    </row>
    <row r="36" spans="2:19" ht="12.75" customHeight="1" x14ac:dyDescent="0.2">
      <c r="B36" s="213"/>
      <c r="C36" s="23"/>
      <c r="D36" s="23" t="s">
        <v>21</v>
      </c>
      <c r="E36" s="246"/>
      <c r="F36" s="246"/>
      <c r="G36" s="45"/>
      <c r="H36" s="10"/>
      <c r="I36" s="178" t="s">
        <v>169</v>
      </c>
      <c r="J36" s="178"/>
      <c r="K36" s="178"/>
      <c r="L36" s="178"/>
      <c r="M36" s="178"/>
      <c r="N36" s="178"/>
      <c r="O36" s="221"/>
      <c r="P36" s="218"/>
      <c r="Q36" s="219"/>
      <c r="R36" s="220"/>
      <c r="S36" s="11"/>
    </row>
    <row r="37" spans="2:19" ht="12.75" customHeight="1" x14ac:dyDescent="0.2">
      <c r="B37" s="213"/>
      <c r="C37" s="23"/>
      <c r="D37" s="23" t="s">
        <v>22</v>
      </c>
      <c r="E37" s="246"/>
      <c r="F37" s="246"/>
      <c r="G37" s="45"/>
      <c r="H37" s="12"/>
      <c r="I37" s="8"/>
      <c r="J37" s="8"/>
      <c r="K37" s="8"/>
      <c r="L37" s="8"/>
      <c r="M37" s="8"/>
      <c r="N37" s="8"/>
      <c r="O37" s="8"/>
      <c r="P37" s="8"/>
      <c r="Q37" s="8"/>
      <c r="R37" s="8"/>
      <c r="S37" s="7"/>
    </row>
    <row r="38" spans="2:19" ht="12.75" customHeight="1" x14ac:dyDescent="0.2">
      <c r="B38" s="213"/>
      <c r="C38" s="23"/>
      <c r="D38" s="23" t="s">
        <v>23</v>
      </c>
      <c r="E38" s="246"/>
      <c r="F38" s="246"/>
      <c r="G38" s="45"/>
      <c r="H38" s="5"/>
      <c r="I38" s="6"/>
      <c r="J38" s="6"/>
      <c r="K38" s="166" t="s">
        <v>112</v>
      </c>
      <c r="L38" s="166"/>
      <c r="M38" s="166"/>
      <c r="N38" s="239"/>
      <c r="O38" s="240"/>
      <c r="P38" s="241"/>
      <c r="Q38" s="236" t="str">
        <f>IF(AND(_R_Cell_B_C&lt;&gt;"",_R_Cell_B_C&lt;&gt;"_MAX_"),IF(ISTEXT(_R_Cell_B_C),"","text  !"),"")</f>
        <v/>
      </c>
      <c r="R38" s="237"/>
      <c r="S38" s="7"/>
    </row>
    <row r="39" spans="2:19" ht="12.75" customHeight="1" x14ac:dyDescent="0.2">
      <c r="B39" s="213"/>
      <c r="C39" s="23"/>
      <c r="D39" s="23" t="s">
        <v>24</v>
      </c>
      <c r="E39" s="246"/>
      <c r="F39" s="246"/>
      <c r="G39" s="45"/>
      <c r="H39" s="5"/>
      <c r="I39" s="8"/>
      <c r="J39" s="8"/>
      <c r="K39" s="8"/>
      <c r="L39" s="8"/>
      <c r="M39" s="8"/>
      <c r="N39" s="8"/>
      <c r="O39" s="8"/>
      <c r="P39" s="8"/>
      <c r="Q39" s="8"/>
      <c r="R39" s="8"/>
      <c r="S39" s="7"/>
    </row>
    <row r="40" spans="2:19" ht="12.75" customHeight="1" x14ac:dyDescent="0.2">
      <c r="B40" s="213"/>
      <c r="C40" s="23"/>
      <c r="D40" s="23" t="s">
        <v>25</v>
      </c>
      <c r="E40" s="246"/>
      <c r="F40" s="246"/>
      <c r="G40" s="45"/>
      <c r="H40" s="5"/>
      <c r="I40" s="6"/>
      <c r="J40" s="6"/>
      <c r="K40" s="166" t="s">
        <v>113</v>
      </c>
      <c r="L40" s="166"/>
      <c r="M40" s="166"/>
      <c r="N40" s="239"/>
      <c r="O40" s="240"/>
      <c r="P40" s="241"/>
      <c r="Q40" s="236" t="str">
        <f>IF(AND(_R_Cell_B_R&lt;&gt;"",_R_Cell_B_R&lt;&gt;"_MAX_"),IF(ISNUMBER(_R_Cell_B_R),"","číslo  !"),"")</f>
        <v/>
      </c>
      <c r="R40" s="237"/>
      <c r="S40" s="7"/>
    </row>
    <row r="41" spans="2:19" ht="12.75" customHeight="1" x14ac:dyDescent="0.2">
      <c r="B41" s="213"/>
      <c r="C41" s="23"/>
      <c r="D41" s="23" t="s">
        <v>26</v>
      </c>
      <c r="E41" s="246"/>
      <c r="F41" s="246"/>
      <c r="G41" s="45"/>
      <c r="H41" s="5"/>
      <c r="I41" s="8"/>
      <c r="J41" s="8"/>
      <c r="K41" s="8"/>
      <c r="L41" s="8"/>
      <c r="M41" s="8"/>
      <c r="N41" s="8"/>
      <c r="O41" s="8"/>
      <c r="P41" s="8"/>
      <c r="Q41" s="8"/>
      <c r="R41" s="8"/>
      <c r="S41" s="7"/>
    </row>
    <row r="42" spans="2:19" ht="12.75" customHeight="1" x14ac:dyDescent="0.2">
      <c r="B42" s="213"/>
      <c r="C42" s="23"/>
      <c r="D42" s="23" t="s">
        <v>27</v>
      </c>
      <c r="E42" s="246"/>
      <c r="F42" s="246"/>
      <c r="G42" s="45"/>
      <c r="H42" s="5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7"/>
    </row>
    <row r="43" spans="2:19" ht="12.75" customHeight="1" x14ac:dyDescent="0.2">
      <c r="B43" s="214"/>
      <c r="C43" s="24"/>
      <c r="D43" s="24" t="s">
        <v>28</v>
      </c>
      <c r="E43" s="250"/>
      <c r="F43" s="250"/>
      <c r="G43" s="46"/>
      <c r="H43" s="5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7"/>
    </row>
    <row r="44" spans="2:19" ht="12.75" customHeight="1" x14ac:dyDescent="0.2">
      <c r="B44" s="185" t="s">
        <v>127</v>
      </c>
      <c r="C44" s="33"/>
      <c r="D44" s="33"/>
      <c r="E44" s="76"/>
      <c r="F44" s="76"/>
      <c r="G44" s="66"/>
      <c r="H44" s="5"/>
      <c r="I44" s="6"/>
      <c r="J44" s="6"/>
      <c r="K44" s="6"/>
      <c r="L44" s="6"/>
      <c r="M44" s="6"/>
      <c r="N44" s="6"/>
      <c r="O44" s="6"/>
      <c r="P44" s="6"/>
      <c r="Q44" s="6"/>
      <c r="R44" s="6"/>
      <c r="S44" s="37" t="s">
        <v>119</v>
      </c>
    </row>
    <row r="45" spans="2:19" ht="12.75" customHeight="1" x14ac:dyDescent="0.2">
      <c r="B45" s="186"/>
      <c r="C45" s="25" t="s">
        <v>150</v>
      </c>
      <c r="D45" s="25"/>
      <c r="E45" s="251"/>
      <c r="F45" s="251"/>
      <c r="G45" s="47"/>
      <c r="H45" s="155" t="s">
        <v>120</v>
      </c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7"/>
    </row>
    <row r="46" spans="2:19" ht="12.75" customHeight="1" x14ac:dyDescent="0.2">
      <c r="B46" s="187"/>
      <c r="C46" s="26" t="s">
        <v>151</v>
      </c>
      <c r="D46" s="26"/>
      <c r="E46" s="252"/>
      <c r="F46" s="252"/>
      <c r="G46" s="48"/>
      <c r="H46" s="158" t="s">
        <v>121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60"/>
    </row>
    <row r="47" spans="2:19" ht="12.75" customHeight="1" x14ac:dyDescent="0.2">
      <c r="B47" s="179" t="s">
        <v>128</v>
      </c>
      <c r="C47" s="34"/>
      <c r="D47" s="34"/>
      <c r="E47" s="77"/>
      <c r="F47" s="77"/>
      <c r="G47" s="67"/>
      <c r="H47" s="5"/>
      <c r="I47" s="6"/>
      <c r="J47" s="6"/>
      <c r="K47" s="6"/>
      <c r="L47" s="6"/>
      <c r="M47" s="6"/>
      <c r="N47" s="6"/>
      <c r="O47" s="6"/>
      <c r="P47" s="6"/>
      <c r="Q47" s="6"/>
      <c r="R47" s="6"/>
      <c r="S47" s="7"/>
    </row>
    <row r="48" spans="2:19" ht="12.75" customHeight="1" x14ac:dyDescent="0.2">
      <c r="B48" s="180"/>
      <c r="C48" s="27" t="s">
        <v>152</v>
      </c>
      <c r="D48" s="27"/>
      <c r="E48" s="248"/>
      <c r="F48" s="248"/>
      <c r="G48" s="49"/>
      <c r="H48" s="5"/>
      <c r="I48" s="6"/>
      <c r="J48" s="6"/>
      <c r="K48" s="6"/>
      <c r="L48" s="6"/>
      <c r="M48" s="86"/>
      <c r="N48" s="6"/>
      <c r="O48" s="6"/>
      <c r="P48" s="6"/>
      <c r="Q48" s="6"/>
      <c r="R48" s="6"/>
      <c r="S48" s="7"/>
    </row>
    <row r="49" spans="2:19" ht="12.75" customHeight="1" thickBot="1" x14ac:dyDescent="0.25">
      <c r="B49" s="181"/>
      <c r="C49" s="56" t="s">
        <v>153</v>
      </c>
      <c r="D49" s="56"/>
      <c r="E49" s="249"/>
      <c r="F49" s="249"/>
      <c r="G49" s="57"/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  <row r="50" spans="2:19" ht="7.5" customHeight="1" thickTop="1" x14ac:dyDescent="0.2"/>
    <row r="51" spans="2:19" x14ac:dyDescent="0.2">
      <c r="B51" s="36" t="s">
        <v>91</v>
      </c>
      <c r="C51" s="87" t="s">
        <v>92</v>
      </c>
      <c r="D51" s="59" t="s">
        <v>93</v>
      </c>
      <c r="E51" s="151"/>
      <c r="G51" s="35"/>
      <c r="N51" s="84"/>
      <c r="O51" s="154"/>
      <c r="P51" s="154"/>
      <c r="Q51" s="154"/>
      <c r="R51" s="154"/>
      <c r="S51" s="154"/>
    </row>
    <row r="52" spans="2:19" x14ac:dyDescent="0.2">
      <c r="B52" s="36"/>
      <c r="C52" s="87"/>
      <c r="D52" s="59"/>
      <c r="E52" s="87"/>
      <c r="G52" s="35"/>
      <c r="N52" s="84"/>
      <c r="O52" s="94"/>
      <c r="P52" s="94"/>
      <c r="Q52" s="94"/>
      <c r="R52" s="94"/>
      <c r="S52" s="94"/>
    </row>
    <row r="53" spans="2:19" x14ac:dyDescent="0.2">
      <c r="B53" s="36"/>
      <c r="C53" s="87"/>
      <c r="D53" s="88" t="s">
        <v>122</v>
      </c>
      <c r="E53" s="89"/>
      <c r="F53" s="8"/>
      <c r="G53" s="8"/>
      <c r="H53" s="1"/>
      <c r="I53" s="1"/>
      <c r="J53" s="1"/>
      <c r="N53" s="84"/>
      <c r="O53" s="94"/>
      <c r="P53" s="94"/>
      <c r="Q53" s="94"/>
      <c r="R53" s="94"/>
      <c r="S53" s="94"/>
    </row>
    <row r="54" spans="2:19" ht="8.25" customHeight="1" x14ac:dyDescent="0.2"/>
  </sheetData>
  <sheetProtection selectLockedCells="1"/>
  <mergeCells count="84">
    <mergeCell ref="B47:B49"/>
    <mergeCell ref="E48:F48"/>
    <mergeCell ref="E49:F49"/>
    <mergeCell ref="O51:S51"/>
    <mergeCell ref="E41:F41"/>
    <mergeCell ref="E42:F42"/>
    <mergeCell ref="E43:F43"/>
    <mergeCell ref="B44:B46"/>
    <mergeCell ref="E45:F45"/>
    <mergeCell ref="H45:S45"/>
    <mergeCell ref="E46:F46"/>
    <mergeCell ref="H46:S46"/>
    <mergeCell ref="B32:B43"/>
    <mergeCell ref="I32:J32"/>
    <mergeCell ref="K32:M32"/>
    <mergeCell ref="N32:P32"/>
    <mergeCell ref="Q40:R40"/>
    <mergeCell ref="K34:M34"/>
    <mergeCell ref="N34:P34"/>
    <mergeCell ref="E36:F36"/>
    <mergeCell ref="I36:O36"/>
    <mergeCell ref="P36:R36"/>
    <mergeCell ref="E37:F37"/>
    <mergeCell ref="E38:F38"/>
    <mergeCell ref="K38:M38"/>
    <mergeCell ref="N38:P38"/>
    <mergeCell ref="Q38:R38"/>
    <mergeCell ref="E39:F39"/>
    <mergeCell ref="N40:P40"/>
    <mergeCell ref="E33:F33"/>
    <mergeCell ref="E34:F34"/>
    <mergeCell ref="I34:J34"/>
    <mergeCell ref="E40:F40"/>
    <mergeCell ref="K40:M40"/>
    <mergeCell ref="K17:M17"/>
    <mergeCell ref="B17:B26"/>
    <mergeCell ref="I30:K30"/>
    <mergeCell ref="L30:R30"/>
    <mergeCell ref="E31:F31"/>
    <mergeCell ref="E24:F24"/>
    <mergeCell ref="H24:S24"/>
    <mergeCell ref="B27:B31"/>
    <mergeCell ref="E28:F28"/>
    <mergeCell ref="I28:K28"/>
    <mergeCell ref="L28:R28"/>
    <mergeCell ref="E29:F29"/>
    <mergeCell ref="E30:F30"/>
    <mergeCell ref="N17:P17"/>
    <mergeCell ref="Q17:R17"/>
    <mergeCell ref="E25:F25"/>
    <mergeCell ref="E26:F26"/>
    <mergeCell ref="I26:K26"/>
    <mergeCell ref="L26:R26"/>
    <mergeCell ref="E18:F18"/>
    <mergeCell ref="E19:F19"/>
    <mergeCell ref="E20:F20"/>
    <mergeCell ref="E21:F21"/>
    <mergeCell ref="E23:F23"/>
    <mergeCell ref="H23:S23"/>
    <mergeCell ref="B10:B16"/>
    <mergeCell ref="E11:F11"/>
    <mergeCell ref="I11:K11"/>
    <mergeCell ref="L11:R11"/>
    <mergeCell ref="E12:F12"/>
    <mergeCell ref="E13:F13"/>
    <mergeCell ref="I13:O13"/>
    <mergeCell ref="P13:R13"/>
    <mergeCell ref="E14:F14"/>
    <mergeCell ref="Q15:R15"/>
    <mergeCell ref="E16:F16"/>
    <mergeCell ref="E15:F15"/>
    <mergeCell ref="K15:M15"/>
    <mergeCell ref="N15:P15"/>
    <mergeCell ref="C4:D4"/>
    <mergeCell ref="E4:F4"/>
    <mergeCell ref="H4:S5"/>
    <mergeCell ref="B6:B9"/>
    <mergeCell ref="H6:S6"/>
    <mergeCell ref="E7:F7"/>
    <mergeCell ref="H7:S7"/>
    <mergeCell ref="E8:F8"/>
    <mergeCell ref="E9:F9"/>
    <mergeCell ref="I9:K9"/>
    <mergeCell ref="L9:R9"/>
  </mergeCells>
  <printOptions horizontalCentered="1"/>
  <pageMargins left="0.11811023622047245" right="0.11811023622047245" top="0.23622047244094491" bottom="0.19685039370078741" header="0.15748031496062992" footer="0.11811023622047245"/>
  <pageSetup paperSize="9" scale="85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A1:AI48"/>
  <sheetViews>
    <sheetView showGridLines="0" workbookViewId="0">
      <selection sqref="A1:AI1"/>
    </sheetView>
  </sheetViews>
  <sheetFormatPr defaultRowHeight="15" x14ac:dyDescent="0.25"/>
  <cols>
    <col min="1" max="1" width="13.140625" style="127" customWidth="1"/>
    <col min="2" max="35" width="4" style="127" customWidth="1"/>
    <col min="36" max="16384" width="9.140625" style="127"/>
  </cols>
  <sheetData>
    <row r="1" spans="1:35" ht="22.5" customHeight="1" x14ac:dyDescent="0.25">
      <c r="A1" s="253" t="s">
        <v>170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253"/>
      <c r="AB1" s="253"/>
      <c r="AC1" s="253"/>
      <c r="AD1" s="253"/>
      <c r="AE1" s="253"/>
      <c r="AF1" s="253"/>
      <c r="AG1" s="253"/>
      <c r="AH1" s="253"/>
      <c r="AI1" s="253"/>
    </row>
    <row r="2" spans="1:35" ht="9.75" customHeight="1" thickBot="1" x14ac:dyDescent="0.3">
      <c r="A2" s="128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</row>
    <row r="3" spans="1:35" ht="12" customHeight="1" thickTop="1" thickBot="1" x14ac:dyDescent="0.3">
      <c r="A3" s="130"/>
      <c r="B3" s="131">
        <v>1</v>
      </c>
      <c r="C3" s="132">
        <v>2</v>
      </c>
      <c r="D3" s="132">
        <v>3</v>
      </c>
      <c r="E3" s="132">
        <v>4</v>
      </c>
      <c r="F3" s="132">
        <v>5</v>
      </c>
      <c r="G3" s="132">
        <v>6</v>
      </c>
      <c r="H3" s="132">
        <v>7</v>
      </c>
      <c r="I3" s="132">
        <v>8</v>
      </c>
      <c r="J3" s="132">
        <v>9</v>
      </c>
      <c r="K3" s="132">
        <v>10</v>
      </c>
      <c r="L3" s="132">
        <v>11</v>
      </c>
      <c r="M3" s="132">
        <v>12</v>
      </c>
      <c r="N3" s="132">
        <v>13</v>
      </c>
      <c r="O3" s="132">
        <v>14</v>
      </c>
      <c r="P3" s="132">
        <v>15</v>
      </c>
      <c r="Q3" s="132">
        <v>16</v>
      </c>
      <c r="R3" s="132">
        <v>17</v>
      </c>
      <c r="S3" s="132">
        <v>18</v>
      </c>
      <c r="T3" s="132">
        <v>19</v>
      </c>
      <c r="U3" s="132">
        <v>20</v>
      </c>
      <c r="V3" s="132">
        <v>21</v>
      </c>
      <c r="W3" s="132">
        <v>22</v>
      </c>
      <c r="X3" s="132">
        <v>23</v>
      </c>
      <c r="Y3" s="132">
        <v>24</v>
      </c>
      <c r="Z3" s="132">
        <v>25</v>
      </c>
      <c r="AA3" s="132">
        <v>26</v>
      </c>
      <c r="AB3" s="132">
        <v>27</v>
      </c>
      <c r="AC3" s="132">
        <v>28</v>
      </c>
      <c r="AD3" s="132">
        <v>29</v>
      </c>
      <c r="AE3" s="132">
        <v>30</v>
      </c>
      <c r="AF3" s="132">
        <v>31</v>
      </c>
      <c r="AG3" s="132">
        <v>32</v>
      </c>
      <c r="AH3" s="132">
        <v>33</v>
      </c>
      <c r="AI3" s="133">
        <v>34</v>
      </c>
    </row>
    <row r="4" spans="1:35" ht="14.25" customHeight="1" thickBot="1" x14ac:dyDescent="0.3">
      <c r="A4" s="134" t="s">
        <v>171</v>
      </c>
      <c r="B4" s="135"/>
      <c r="C4" s="136">
        <v>0</v>
      </c>
      <c r="D4" s="136">
        <v>1</v>
      </c>
      <c r="E4" s="136">
        <v>2</v>
      </c>
      <c r="F4" s="136">
        <v>3</v>
      </c>
      <c r="G4" s="136">
        <v>4</v>
      </c>
      <c r="H4" s="136">
        <v>5</v>
      </c>
      <c r="I4" s="136">
        <v>6</v>
      </c>
      <c r="J4" s="136">
        <v>7</v>
      </c>
      <c r="K4" s="136">
        <v>8</v>
      </c>
      <c r="L4" s="136">
        <v>9</v>
      </c>
      <c r="M4" s="136" t="s">
        <v>172</v>
      </c>
      <c r="N4" s="136"/>
      <c r="O4" s="136" t="s">
        <v>173</v>
      </c>
      <c r="P4" s="136"/>
      <c r="Q4" s="136" t="s">
        <v>174</v>
      </c>
      <c r="R4" s="136"/>
      <c r="S4" s="136" t="s">
        <v>175</v>
      </c>
      <c r="T4" s="136"/>
      <c r="U4" s="136" t="s">
        <v>176</v>
      </c>
      <c r="V4" s="136"/>
      <c r="W4" s="136" t="s">
        <v>177</v>
      </c>
      <c r="X4" s="136"/>
      <c r="Y4" s="136" t="s">
        <v>178</v>
      </c>
      <c r="Z4" s="136"/>
      <c r="AA4" s="136" t="s">
        <v>179</v>
      </c>
      <c r="AB4" s="136"/>
      <c r="AC4" s="136" t="s">
        <v>180</v>
      </c>
      <c r="AD4" s="136"/>
      <c r="AE4" s="136" t="s">
        <v>181</v>
      </c>
      <c r="AF4" s="136"/>
      <c r="AG4" s="136" t="s">
        <v>182</v>
      </c>
      <c r="AH4" s="136"/>
      <c r="AI4" s="137" t="s">
        <v>183</v>
      </c>
    </row>
    <row r="5" spans="1:35" ht="10.5" customHeight="1" thickBot="1" x14ac:dyDescent="0.3">
      <c r="A5" s="138" t="s">
        <v>184</v>
      </c>
      <c r="B5" s="139">
        <v>32</v>
      </c>
      <c r="C5" s="140">
        <v>48</v>
      </c>
      <c r="D5" s="140">
        <v>49</v>
      </c>
      <c r="E5" s="140">
        <v>50</v>
      </c>
      <c r="F5" s="140">
        <v>51</v>
      </c>
      <c r="G5" s="140">
        <v>52</v>
      </c>
      <c r="H5" s="140">
        <v>53</v>
      </c>
      <c r="I5" s="140">
        <v>54</v>
      </c>
      <c r="J5" s="140">
        <v>55</v>
      </c>
      <c r="K5" s="140">
        <v>56</v>
      </c>
      <c r="L5" s="140">
        <v>57</v>
      </c>
      <c r="M5" s="140">
        <v>65</v>
      </c>
      <c r="N5" s="140"/>
      <c r="O5" s="140"/>
      <c r="P5" s="140"/>
      <c r="Q5" s="140"/>
      <c r="R5" s="140"/>
      <c r="S5" s="140">
        <v>66</v>
      </c>
      <c r="T5" s="140"/>
      <c r="U5" s="140">
        <v>67</v>
      </c>
      <c r="V5" s="140"/>
      <c r="W5" s="140"/>
      <c r="X5" s="140"/>
      <c r="Y5" s="140">
        <v>68</v>
      </c>
      <c r="Z5" s="140"/>
      <c r="AA5" s="140"/>
      <c r="AB5" s="140"/>
      <c r="AC5" s="140"/>
      <c r="AD5" s="140"/>
      <c r="AE5" s="140"/>
      <c r="AF5" s="140"/>
      <c r="AG5" s="140">
        <v>69</v>
      </c>
      <c r="AH5" s="140"/>
      <c r="AI5" s="141"/>
    </row>
    <row r="6" spans="1:35" ht="10.5" customHeight="1" thickBot="1" x14ac:dyDescent="0.3">
      <c r="A6" s="138" t="s">
        <v>185</v>
      </c>
      <c r="B6" s="142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>
        <v>181</v>
      </c>
      <c r="P6" s="143"/>
      <c r="Q6" s="143">
        <v>142</v>
      </c>
      <c r="R6" s="143"/>
      <c r="S6" s="143"/>
      <c r="T6" s="143"/>
      <c r="U6" s="143"/>
      <c r="V6" s="143"/>
      <c r="W6" s="143">
        <v>172</v>
      </c>
      <c r="X6" s="143"/>
      <c r="Y6" s="143"/>
      <c r="Z6" s="143"/>
      <c r="AA6" s="143">
        <v>210</v>
      </c>
      <c r="AB6" s="143"/>
      <c r="AC6" s="143"/>
      <c r="AD6" s="143"/>
      <c r="AE6" s="143"/>
      <c r="AF6" s="143"/>
      <c r="AG6" s="143"/>
      <c r="AH6" s="143"/>
      <c r="AI6" s="144">
        <v>144</v>
      </c>
    </row>
    <row r="7" spans="1:35" ht="10.5" customHeight="1" thickBot="1" x14ac:dyDescent="0.3">
      <c r="A7" s="138" t="s">
        <v>186</v>
      </c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>
        <v>143</v>
      </c>
      <c r="P7" s="140"/>
      <c r="Q7" s="140">
        <v>142</v>
      </c>
      <c r="R7" s="140"/>
      <c r="S7" s="140"/>
      <c r="T7" s="140"/>
      <c r="U7" s="140"/>
      <c r="V7" s="140"/>
      <c r="W7" s="140">
        <v>128</v>
      </c>
      <c r="X7" s="140"/>
      <c r="Y7" s="140"/>
      <c r="Z7" s="140"/>
      <c r="AA7" s="140">
        <v>133</v>
      </c>
      <c r="AB7" s="140"/>
      <c r="AC7" s="140"/>
      <c r="AD7" s="140"/>
      <c r="AE7" s="140"/>
      <c r="AF7" s="140"/>
      <c r="AG7" s="140"/>
      <c r="AH7" s="140"/>
      <c r="AI7" s="141">
        <v>144</v>
      </c>
    </row>
    <row r="8" spans="1:35" ht="10.5" customHeight="1" thickBot="1" x14ac:dyDescent="0.3">
      <c r="A8" s="138" t="s">
        <v>187</v>
      </c>
      <c r="B8" s="142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>
        <v>193</v>
      </c>
      <c r="P8" s="143"/>
      <c r="Q8" s="143">
        <v>196</v>
      </c>
      <c r="R8" s="143"/>
      <c r="S8" s="143"/>
      <c r="T8" s="143"/>
      <c r="U8" s="143"/>
      <c r="V8" s="143"/>
      <c r="W8" s="143">
        <v>200</v>
      </c>
      <c r="X8" s="143"/>
      <c r="Y8" s="143"/>
      <c r="Z8" s="143"/>
      <c r="AA8" s="143">
        <v>207</v>
      </c>
      <c r="AB8" s="143"/>
      <c r="AC8" s="143"/>
      <c r="AD8" s="143"/>
      <c r="AE8" s="143"/>
      <c r="AF8" s="143"/>
      <c r="AG8" s="143"/>
      <c r="AH8" s="143"/>
      <c r="AI8" s="144">
        <v>201</v>
      </c>
    </row>
    <row r="9" spans="1:35" ht="10.5" customHeight="1" thickBot="1" x14ac:dyDescent="0.3">
      <c r="A9" s="138" t="s">
        <v>188</v>
      </c>
      <c r="B9" s="139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>
        <v>193</v>
      </c>
      <c r="P9" s="140"/>
      <c r="Q9" s="140">
        <v>196</v>
      </c>
      <c r="R9" s="140"/>
      <c r="S9" s="140"/>
      <c r="T9" s="140"/>
      <c r="U9" s="140"/>
      <c r="V9" s="140"/>
      <c r="W9" s="140">
        <v>200</v>
      </c>
      <c r="X9" s="140"/>
      <c r="Y9" s="140"/>
      <c r="Z9" s="140"/>
      <c r="AA9" s="140">
        <v>207</v>
      </c>
      <c r="AB9" s="140"/>
      <c r="AC9" s="140"/>
      <c r="AD9" s="140"/>
      <c r="AE9" s="140"/>
      <c r="AF9" s="140"/>
      <c r="AG9" s="140"/>
      <c r="AH9" s="140"/>
      <c r="AI9" s="141">
        <v>201</v>
      </c>
    </row>
    <row r="10" spans="1:35" ht="10.5" customHeight="1" thickBot="1" x14ac:dyDescent="0.3">
      <c r="A10" s="138" t="s">
        <v>189</v>
      </c>
      <c r="B10" s="142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>
        <v>231</v>
      </c>
      <c r="P10" s="143"/>
      <c r="Q10" s="143">
        <v>128</v>
      </c>
      <c r="R10" s="143"/>
      <c r="S10" s="143"/>
      <c r="T10" s="143"/>
      <c r="U10" s="143"/>
      <c r="V10" s="143"/>
      <c r="W10" s="143">
        <v>137</v>
      </c>
      <c r="X10" s="143"/>
      <c r="Y10" s="143"/>
      <c r="Z10" s="143"/>
      <c r="AA10" s="143">
        <v>145</v>
      </c>
      <c r="AB10" s="143"/>
      <c r="AC10" s="143"/>
      <c r="AD10" s="143"/>
      <c r="AE10" s="143"/>
      <c r="AF10" s="143"/>
      <c r="AG10" s="143"/>
      <c r="AH10" s="143"/>
      <c r="AI10" s="144">
        <v>131</v>
      </c>
    </row>
    <row r="11" spans="1:35" ht="13.5" customHeight="1" thickBot="1" x14ac:dyDescent="0.3">
      <c r="A11" s="145"/>
      <c r="B11" s="146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 t="s">
        <v>190</v>
      </c>
      <c r="O11" s="147"/>
      <c r="P11" s="147" t="s">
        <v>191</v>
      </c>
      <c r="Q11" s="147"/>
      <c r="R11" s="147" t="s">
        <v>192</v>
      </c>
      <c r="S11" s="147"/>
      <c r="T11" s="147" t="s">
        <v>193</v>
      </c>
      <c r="U11" s="147"/>
      <c r="V11" s="147" t="s">
        <v>194</v>
      </c>
      <c r="W11" s="147"/>
      <c r="X11" s="147" t="s">
        <v>195</v>
      </c>
      <c r="Y11" s="147"/>
      <c r="Z11" s="147" t="s">
        <v>196</v>
      </c>
      <c r="AA11" s="147"/>
      <c r="AB11" s="147" t="s">
        <v>197</v>
      </c>
      <c r="AC11" s="147"/>
      <c r="AD11" s="147" t="s">
        <v>198</v>
      </c>
      <c r="AE11" s="147"/>
      <c r="AF11" s="147" t="s">
        <v>199</v>
      </c>
      <c r="AG11" s="147"/>
      <c r="AH11" s="147" t="s">
        <v>200</v>
      </c>
      <c r="AI11" s="148"/>
    </row>
    <row r="12" spans="1:35" ht="12" customHeight="1" thickTop="1" thickBot="1" x14ac:dyDescent="0.3">
      <c r="A12" s="130"/>
      <c r="B12" s="131">
        <v>35</v>
      </c>
      <c r="C12" s="132">
        <v>36</v>
      </c>
      <c r="D12" s="132">
        <v>37</v>
      </c>
      <c r="E12" s="132">
        <v>38</v>
      </c>
      <c r="F12" s="132">
        <v>39</v>
      </c>
      <c r="G12" s="132">
        <v>40</v>
      </c>
      <c r="H12" s="132">
        <v>41</v>
      </c>
      <c r="I12" s="132">
        <v>42</v>
      </c>
      <c r="J12" s="132">
        <v>43</v>
      </c>
      <c r="K12" s="132">
        <v>44</v>
      </c>
      <c r="L12" s="132">
        <v>45</v>
      </c>
      <c r="M12" s="132">
        <v>46</v>
      </c>
      <c r="N12" s="132">
        <v>47</v>
      </c>
      <c r="O12" s="132">
        <v>48</v>
      </c>
      <c r="P12" s="132">
        <v>49</v>
      </c>
      <c r="Q12" s="132">
        <v>50</v>
      </c>
      <c r="R12" s="132">
        <v>51</v>
      </c>
      <c r="S12" s="132">
        <v>52</v>
      </c>
      <c r="T12" s="132">
        <v>53</v>
      </c>
      <c r="U12" s="132">
        <v>54</v>
      </c>
      <c r="V12" s="132">
        <v>55</v>
      </c>
      <c r="W12" s="132">
        <v>56</v>
      </c>
      <c r="X12" s="132">
        <v>57</v>
      </c>
      <c r="Y12" s="132">
        <v>58</v>
      </c>
      <c r="Z12" s="132">
        <v>59</v>
      </c>
      <c r="AA12" s="132">
        <v>60</v>
      </c>
      <c r="AB12" s="132">
        <v>61</v>
      </c>
      <c r="AC12" s="132">
        <v>62</v>
      </c>
      <c r="AD12" s="132">
        <v>63</v>
      </c>
      <c r="AE12" s="132">
        <v>64</v>
      </c>
      <c r="AF12" s="132">
        <v>65</v>
      </c>
      <c r="AG12" s="132">
        <v>66</v>
      </c>
      <c r="AH12" s="132">
        <v>67</v>
      </c>
      <c r="AI12" s="133">
        <v>68</v>
      </c>
    </row>
    <row r="13" spans="1:35" ht="14.25" customHeight="1" thickBot="1" x14ac:dyDescent="0.3">
      <c r="A13" s="134" t="s">
        <v>171</v>
      </c>
      <c r="B13" s="135"/>
      <c r="C13" s="136" t="s">
        <v>201</v>
      </c>
      <c r="D13" s="149"/>
      <c r="E13" s="136" t="s">
        <v>202</v>
      </c>
      <c r="F13" s="136"/>
      <c r="G13" s="136" t="s">
        <v>203</v>
      </c>
      <c r="H13" s="136"/>
      <c r="I13" s="136" t="s">
        <v>204</v>
      </c>
      <c r="J13" s="136"/>
      <c r="K13" s="136" t="s">
        <v>205</v>
      </c>
      <c r="L13" s="136"/>
      <c r="M13" s="136" t="s">
        <v>206</v>
      </c>
      <c r="N13" s="136"/>
      <c r="O13" s="136" t="s">
        <v>207</v>
      </c>
      <c r="P13" s="136"/>
      <c r="Q13" s="136" t="s">
        <v>208</v>
      </c>
      <c r="R13" s="136"/>
      <c r="S13" s="136" t="s">
        <v>209</v>
      </c>
      <c r="T13" s="136"/>
      <c r="U13" s="136" t="s">
        <v>210</v>
      </c>
      <c r="V13" s="136"/>
      <c r="W13" s="136" t="s">
        <v>211</v>
      </c>
      <c r="X13" s="136"/>
      <c r="Y13" s="136" t="s">
        <v>212</v>
      </c>
      <c r="Z13" s="136"/>
      <c r="AA13" s="136" t="s">
        <v>213</v>
      </c>
      <c r="AB13" s="136"/>
      <c r="AC13" s="136" t="s">
        <v>214</v>
      </c>
      <c r="AD13" s="136"/>
      <c r="AE13" s="136" t="s">
        <v>215</v>
      </c>
      <c r="AF13" s="136"/>
      <c r="AG13" s="136" t="s">
        <v>216</v>
      </c>
      <c r="AH13" s="136"/>
      <c r="AI13" s="137" t="s">
        <v>217</v>
      </c>
    </row>
    <row r="14" spans="1:35" ht="10.5" customHeight="1" thickBot="1" x14ac:dyDescent="0.3">
      <c r="A14" s="138" t="s">
        <v>184</v>
      </c>
      <c r="B14" s="139"/>
      <c r="C14" s="140"/>
      <c r="D14" s="140"/>
      <c r="E14" s="140">
        <v>70</v>
      </c>
      <c r="F14" s="140"/>
      <c r="G14" s="140">
        <v>71</v>
      </c>
      <c r="H14" s="140"/>
      <c r="I14" s="140">
        <v>72</v>
      </c>
      <c r="J14" s="140"/>
      <c r="K14" s="140"/>
      <c r="L14" s="140"/>
      <c r="M14" s="140">
        <v>73</v>
      </c>
      <c r="N14" s="140"/>
      <c r="O14" s="140"/>
      <c r="P14" s="140"/>
      <c r="Q14" s="140">
        <v>74</v>
      </c>
      <c r="R14" s="140"/>
      <c r="S14" s="140">
        <v>75</v>
      </c>
      <c r="T14" s="140"/>
      <c r="U14" s="140">
        <v>76</v>
      </c>
      <c r="V14" s="140"/>
      <c r="W14" s="140"/>
      <c r="X14" s="140"/>
      <c r="Y14" s="140"/>
      <c r="Z14" s="140"/>
      <c r="AA14" s="140">
        <v>77</v>
      </c>
      <c r="AB14" s="140"/>
      <c r="AC14" s="140">
        <v>78</v>
      </c>
      <c r="AD14" s="140"/>
      <c r="AE14" s="140"/>
      <c r="AF14" s="140"/>
      <c r="AG14" s="140">
        <v>79</v>
      </c>
      <c r="AH14" s="140"/>
      <c r="AI14" s="141"/>
    </row>
    <row r="15" spans="1:35" ht="10.5" customHeight="1" thickBot="1" x14ac:dyDescent="0.3">
      <c r="A15" s="138" t="s">
        <v>185</v>
      </c>
      <c r="B15" s="142"/>
      <c r="C15" s="143">
        <v>183</v>
      </c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>
        <v>214</v>
      </c>
      <c r="P15" s="143"/>
      <c r="Q15" s="143"/>
      <c r="R15" s="143"/>
      <c r="S15" s="143"/>
      <c r="T15" s="143"/>
      <c r="U15" s="143"/>
      <c r="V15" s="143"/>
      <c r="W15" s="143">
        <v>145</v>
      </c>
      <c r="X15" s="143"/>
      <c r="Y15" s="143">
        <v>149</v>
      </c>
      <c r="Z15" s="143"/>
      <c r="AA15" s="143"/>
      <c r="AB15" s="143"/>
      <c r="AC15" s="143"/>
      <c r="AD15" s="143"/>
      <c r="AE15" s="143">
        <v>213</v>
      </c>
      <c r="AF15" s="143"/>
      <c r="AG15" s="143"/>
      <c r="AH15" s="143"/>
      <c r="AI15" s="144">
        <v>224</v>
      </c>
    </row>
    <row r="16" spans="1:35" ht="10.5" customHeight="1" thickBot="1" x14ac:dyDescent="0.3">
      <c r="A16" s="138" t="s">
        <v>186</v>
      </c>
      <c r="B16" s="139"/>
      <c r="C16" s="140">
        <v>137</v>
      </c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>
        <v>139</v>
      </c>
      <c r="P16" s="140"/>
      <c r="Q16" s="140"/>
      <c r="R16" s="140"/>
      <c r="S16" s="140"/>
      <c r="T16" s="140"/>
      <c r="U16" s="140"/>
      <c r="V16" s="140"/>
      <c r="W16" s="140">
        <v>138</v>
      </c>
      <c r="X16" s="140"/>
      <c r="Y16" s="140">
        <v>156</v>
      </c>
      <c r="Z16" s="140"/>
      <c r="AA16" s="140"/>
      <c r="AB16" s="140"/>
      <c r="AC16" s="140"/>
      <c r="AD16" s="140"/>
      <c r="AE16" s="140">
        <v>165</v>
      </c>
      <c r="AF16" s="140"/>
      <c r="AG16" s="140"/>
      <c r="AH16" s="140"/>
      <c r="AI16" s="141">
        <v>149</v>
      </c>
    </row>
    <row r="17" spans="1:35" ht="10.5" customHeight="1" thickBot="1" x14ac:dyDescent="0.3">
      <c r="A17" s="138" t="s">
        <v>187</v>
      </c>
      <c r="B17" s="142"/>
      <c r="C17" s="143">
        <v>204</v>
      </c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>
        <v>205</v>
      </c>
      <c r="P17" s="143"/>
      <c r="Q17" s="143"/>
      <c r="R17" s="143"/>
      <c r="S17" s="143"/>
      <c r="T17" s="143"/>
      <c r="U17" s="143"/>
      <c r="V17" s="143"/>
      <c r="W17" s="143">
        <v>197</v>
      </c>
      <c r="X17" s="143"/>
      <c r="Y17" s="143">
        <v>188</v>
      </c>
      <c r="Z17" s="143"/>
      <c r="AA17" s="143"/>
      <c r="AB17" s="143"/>
      <c r="AC17" s="143"/>
      <c r="AD17" s="143"/>
      <c r="AE17" s="143">
        <v>210</v>
      </c>
      <c r="AF17" s="143"/>
      <c r="AG17" s="143"/>
      <c r="AH17" s="143"/>
      <c r="AI17" s="144">
        <v>211</v>
      </c>
    </row>
    <row r="18" spans="1:35" ht="10.5" customHeight="1" thickBot="1" x14ac:dyDescent="0.3">
      <c r="A18" s="138" t="s">
        <v>188</v>
      </c>
      <c r="B18" s="139"/>
      <c r="C18" s="140">
        <v>204</v>
      </c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>
        <v>205</v>
      </c>
      <c r="P18" s="140"/>
      <c r="Q18" s="140"/>
      <c r="R18" s="140"/>
      <c r="S18" s="140"/>
      <c r="T18" s="140"/>
      <c r="U18" s="140"/>
      <c r="V18" s="140"/>
      <c r="W18" s="140">
        <v>197</v>
      </c>
      <c r="X18" s="140"/>
      <c r="Y18" s="140">
        <v>165</v>
      </c>
      <c r="Z18" s="140"/>
      <c r="AA18" s="140"/>
      <c r="AB18" s="140"/>
      <c r="AC18" s="140"/>
      <c r="AD18" s="140"/>
      <c r="AE18" s="140">
        <v>210</v>
      </c>
      <c r="AF18" s="140"/>
      <c r="AG18" s="140"/>
      <c r="AH18" s="140"/>
      <c r="AI18" s="141">
        <v>211</v>
      </c>
    </row>
    <row r="19" spans="1:35" ht="10.5" customHeight="1" thickBot="1" x14ac:dyDescent="0.3">
      <c r="A19" s="138" t="s">
        <v>189</v>
      </c>
      <c r="B19" s="142"/>
      <c r="C19" s="143">
        <v>157</v>
      </c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>
        <v>234</v>
      </c>
      <c r="P19" s="143"/>
      <c r="Q19" s="143"/>
      <c r="R19" s="143"/>
      <c r="S19" s="143"/>
      <c r="T19" s="143"/>
      <c r="U19" s="143"/>
      <c r="V19" s="143"/>
      <c r="W19" s="143">
        <v>189</v>
      </c>
      <c r="X19" s="143"/>
      <c r="Y19" s="143">
        <v>187</v>
      </c>
      <c r="Z19" s="143"/>
      <c r="AA19" s="143"/>
      <c r="AB19" s="143"/>
      <c r="AC19" s="143"/>
      <c r="AD19" s="143"/>
      <c r="AE19" s="143">
        <v>197</v>
      </c>
      <c r="AF19" s="143"/>
      <c r="AG19" s="143"/>
      <c r="AH19" s="143"/>
      <c r="AI19" s="144">
        <v>238</v>
      </c>
    </row>
    <row r="20" spans="1:35" ht="13.5" customHeight="1" thickBot="1" x14ac:dyDescent="0.3">
      <c r="A20" s="145"/>
      <c r="B20" s="146" t="s">
        <v>218</v>
      </c>
      <c r="C20" s="147"/>
      <c r="D20" s="147" t="s">
        <v>219</v>
      </c>
      <c r="E20" s="147"/>
      <c r="F20" s="147" t="s">
        <v>220</v>
      </c>
      <c r="G20" s="147"/>
      <c r="H20" s="147" t="s">
        <v>221</v>
      </c>
      <c r="I20" s="147"/>
      <c r="J20" s="147" t="s">
        <v>222</v>
      </c>
      <c r="K20" s="147"/>
      <c r="L20" s="147" t="s">
        <v>223</v>
      </c>
      <c r="M20" s="147"/>
      <c r="N20" s="147" t="s">
        <v>224</v>
      </c>
      <c r="O20" s="147"/>
      <c r="P20" s="147" t="s">
        <v>225</v>
      </c>
      <c r="Q20" s="147"/>
      <c r="R20" s="147" t="s">
        <v>226</v>
      </c>
      <c r="S20" s="147"/>
      <c r="T20" s="147" t="s">
        <v>227</v>
      </c>
      <c r="U20" s="147"/>
      <c r="V20" s="147" t="s">
        <v>228</v>
      </c>
      <c r="W20" s="147"/>
      <c r="X20" s="147" t="s">
        <v>229</v>
      </c>
      <c r="Y20" s="147"/>
      <c r="Z20" s="147" t="s">
        <v>230</v>
      </c>
      <c r="AA20" s="147"/>
      <c r="AB20" s="147" t="s">
        <v>231</v>
      </c>
      <c r="AC20" s="147"/>
      <c r="AD20" s="147" t="s">
        <v>232</v>
      </c>
      <c r="AE20" s="147"/>
      <c r="AF20" s="147" t="s">
        <v>233</v>
      </c>
      <c r="AG20" s="147"/>
      <c r="AH20" s="147" t="s">
        <v>234</v>
      </c>
      <c r="AI20" s="148"/>
    </row>
    <row r="21" spans="1:35" ht="12" customHeight="1" thickTop="1" thickBot="1" x14ac:dyDescent="0.3">
      <c r="A21" s="130"/>
      <c r="B21" s="131">
        <v>69</v>
      </c>
      <c r="C21" s="132">
        <v>70</v>
      </c>
      <c r="D21" s="132">
        <v>71</v>
      </c>
      <c r="E21" s="132">
        <v>72</v>
      </c>
      <c r="F21" s="132">
        <v>73</v>
      </c>
      <c r="G21" s="132">
        <v>74</v>
      </c>
      <c r="H21" s="132">
        <v>75</v>
      </c>
      <c r="I21" s="132">
        <v>76</v>
      </c>
      <c r="J21" s="132">
        <v>77</v>
      </c>
      <c r="K21" s="132">
        <v>78</v>
      </c>
      <c r="L21" s="132">
        <v>79</v>
      </c>
      <c r="M21" s="132">
        <v>80</v>
      </c>
      <c r="N21" s="132">
        <v>81</v>
      </c>
      <c r="O21" s="132">
        <v>82</v>
      </c>
      <c r="P21" s="132">
        <v>83</v>
      </c>
      <c r="Q21" s="132">
        <v>84</v>
      </c>
      <c r="R21" s="132">
        <v>85</v>
      </c>
      <c r="S21" s="132">
        <v>86</v>
      </c>
      <c r="T21" s="132">
        <v>87</v>
      </c>
      <c r="U21" s="132">
        <v>88</v>
      </c>
      <c r="V21" s="132">
        <v>89</v>
      </c>
      <c r="W21" s="132">
        <v>90</v>
      </c>
      <c r="X21" s="132">
        <v>91</v>
      </c>
      <c r="Y21" s="132">
        <v>92</v>
      </c>
      <c r="Z21" s="132">
        <v>93</v>
      </c>
      <c r="AA21" s="132">
        <v>94</v>
      </c>
      <c r="AB21" s="132">
        <v>95</v>
      </c>
      <c r="AC21" s="132">
        <v>96</v>
      </c>
      <c r="AD21" s="132">
        <v>97</v>
      </c>
      <c r="AE21" s="132">
        <v>98</v>
      </c>
      <c r="AF21" s="132">
        <v>99</v>
      </c>
      <c r="AG21" s="132">
        <v>100</v>
      </c>
      <c r="AH21" s="132">
        <v>101</v>
      </c>
      <c r="AI21" s="133">
        <v>102</v>
      </c>
    </row>
    <row r="22" spans="1:35" ht="14.25" customHeight="1" thickBot="1" x14ac:dyDescent="0.3">
      <c r="A22" s="134" t="s">
        <v>171</v>
      </c>
      <c r="B22" s="135"/>
      <c r="C22" s="136" t="s">
        <v>235</v>
      </c>
      <c r="D22" s="136"/>
      <c r="E22" s="136" t="s">
        <v>236</v>
      </c>
      <c r="F22" s="136"/>
      <c r="G22" s="136" t="s">
        <v>237</v>
      </c>
      <c r="H22" s="136"/>
      <c r="I22" s="136" t="s">
        <v>238</v>
      </c>
      <c r="J22" s="136"/>
      <c r="K22" s="136" t="s">
        <v>239</v>
      </c>
      <c r="L22" s="136"/>
      <c r="M22" s="136" t="s">
        <v>240</v>
      </c>
      <c r="N22" s="136"/>
      <c r="O22" s="136" t="s">
        <v>241</v>
      </c>
      <c r="P22" s="136"/>
      <c r="Q22" s="136" t="s">
        <v>242</v>
      </c>
      <c r="R22" s="136"/>
      <c r="S22" s="136" t="s">
        <v>243</v>
      </c>
      <c r="T22" s="136"/>
      <c r="U22" s="136" t="s">
        <v>244</v>
      </c>
      <c r="V22" s="136"/>
      <c r="W22" s="136" t="s">
        <v>245</v>
      </c>
      <c r="X22" s="136"/>
      <c r="Y22" s="136" t="s">
        <v>246</v>
      </c>
      <c r="Z22" s="136"/>
      <c r="AA22" s="136" t="s">
        <v>247</v>
      </c>
      <c r="AB22" s="136"/>
      <c r="AC22" s="136" t="s">
        <v>248</v>
      </c>
      <c r="AD22" s="136"/>
      <c r="AE22" s="136" t="s">
        <v>249</v>
      </c>
      <c r="AF22" s="136"/>
      <c r="AG22" s="136" t="s">
        <v>250</v>
      </c>
      <c r="AH22" s="136"/>
      <c r="AI22" s="137" t="s">
        <v>251</v>
      </c>
    </row>
    <row r="23" spans="1:35" ht="10.5" customHeight="1" thickBot="1" x14ac:dyDescent="0.3">
      <c r="A23" s="138" t="s">
        <v>184</v>
      </c>
      <c r="B23" s="139"/>
      <c r="C23" s="140"/>
      <c r="D23" s="140"/>
      <c r="E23" s="140"/>
      <c r="F23" s="140"/>
      <c r="G23" s="140"/>
      <c r="H23" s="140"/>
      <c r="I23" s="140">
        <v>80</v>
      </c>
      <c r="J23" s="140"/>
      <c r="K23" s="140">
        <v>81</v>
      </c>
      <c r="L23" s="140"/>
      <c r="M23" s="140">
        <v>82</v>
      </c>
      <c r="N23" s="140"/>
      <c r="O23" s="140"/>
      <c r="P23" s="140"/>
      <c r="Q23" s="140"/>
      <c r="R23" s="140"/>
      <c r="S23" s="140">
        <v>83</v>
      </c>
      <c r="T23" s="140"/>
      <c r="U23" s="140"/>
      <c r="V23" s="140"/>
      <c r="W23" s="140">
        <v>84</v>
      </c>
      <c r="X23" s="140"/>
      <c r="Y23" s="140"/>
      <c r="Z23" s="140"/>
      <c r="AA23" s="140">
        <v>85</v>
      </c>
      <c r="AB23" s="140"/>
      <c r="AC23" s="140"/>
      <c r="AD23" s="140"/>
      <c r="AE23" s="140"/>
      <c r="AF23" s="140"/>
      <c r="AG23" s="140"/>
      <c r="AH23" s="140"/>
      <c r="AI23" s="141"/>
    </row>
    <row r="24" spans="1:35" ht="10.5" customHeight="1" thickBot="1" x14ac:dyDescent="0.3">
      <c r="A24" s="138" t="s">
        <v>185</v>
      </c>
      <c r="B24" s="142"/>
      <c r="C24" s="143">
        <v>226</v>
      </c>
      <c r="D24" s="143"/>
      <c r="E24" s="143">
        <v>153</v>
      </c>
      <c r="F24" s="143"/>
      <c r="G24" s="143">
        <v>138</v>
      </c>
      <c r="H24" s="143"/>
      <c r="I24" s="143"/>
      <c r="J24" s="143"/>
      <c r="K24" s="143"/>
      <c r="L24" s="143"/>
      <c r="M24" s="143"/>
      <c r="N24" s="143"/>
      <c r="O24" s="143">
        <v>232</v>
      </c>
      <c r="P24" s="143"/>
      <c r="Q24" s="143">
        <v>252</v>
      </c>
      <c r="R24" s="143"/>
      <c r="S24" s="143"/>
      <c r="T24" s="143"/>
      <c r="U24" s="143">
        <v>230</v>
      </c>
      <c r="V24" s="143"/>
      <c r="W24" s="143"/>
      <c r="X24" s="143"/>
      <c r="Y24" s="143">
        <v>155</v>
      </c>
      <c r="Z24" s="143"/>
      <c r="AA24" s="143"/>
      <c r="AB24" s="143"/>
      <c r="AC24" s="143">
        <v>233</v>
      </c>
      <c r="AD24" s="143"/>
      <c r="AE24" s="143">
        <v>222</v>
      </c>
      <c r="AF24" s="143"/>
      <c r="AG24" s="143">
        <v>154</v>
      </c>
      <c r="AH24" s="143"/>
      <c r="AI24" s="144">
        <v>235</v>
      </c>
    </row>
    <row r="25" spans="1:35" ht="10.5" customHeight="1" thickBot="1" x14ac:dyDescent="0.3">
      <c r="A25" s="138" t="s">
        <v>186</v>
      </c>
      <c r="B25" s="139"/>
      <c r="C25" s="140">
        <v>167</v>
      </c>
      <c r="D25" s="140"/>
      <c r="E25" s="140">
        <v>153</v>
      </c>
      <c r="F25" s="140"/>
      <c r="G25" s="140"/>
      <c r="H25" s="140"/>
      <c r="I25" s="140"/>
      <c r="J25" s="140"/>
      <c r="K25" s="140"/>
      <c r="L25" s="140"/>
      <c r="M25" s="140"/>
      <c r="N25" s="140"/>
      <c r="O25" s="140">
        <v>171</v>
      </c>
      <c r="P25" s="140"/>
      <c r="Q25" s="140">
        <v>158</v>
      </c>
      <c r="R25" s="140"/>
      <c r="S25" s="140"/>
      <c r="T25" s="140"/>
      <c r="U25" s="140">
        <v>155</v>
      </c>
      <c r="V25" s="140"/>
      <c r="W25" s="140"/>
      <c r="X25" s="140"/>
      <c r="Y25" s="140">
        <v>134</v>
      </c>
      <c r="Z25" s="140"/>
      <c r="AA25" s="140"/>
      <c r="AB25" s="140"/>
      <c r="AC25" s="140">
        <v>151</v>
      </c>
      <c r="AD25" s="140"/>
      <c r="AE25" s="140">
        <v>166</v>
      </c>
      <c r="AF25" s="140"/>
      <c r="AG25" s="140">
        <v>154</v>
      </c>
      <c r="AH25" s="140"/>
      <c r="AI25" s="141"/>
    </row>
    <row r="26" spans="1:35" ht="10.5" customHeight="1" thickBot="1" x14ac:dyDescent="0.3">
      <c r="A26" s="138" t="s">
        <v>187</v>
      </c>
      <c r="B26" s="142"/>
      <c r="C26" s="143">
        <v>212</v>
      </c>
      <c r="D26" s="143"/>
      <c r="E26" s="143">
        <v>214</v>
      </c>
      <c r="F26" s="143"/>
      <c r="G26" s="143">
        <v>213</v>
      </c>
      <c r="H26" s="143"/>
      <c r="I26" s="143"/>
      <c r="J26" s="143"/>
      <c r="K26" s="143"/>
      <c r="L26" s="143"/>
      <c r="M26" s="143"/>
      <c r="N26" s="143"/>
      <c r="O26" s="143">
        <v>192</v>
      </c>
      <c r="P26" s="143"/>
      <c r="Q26" s="143">
        <v>216</v>
      </c>
      <c r="R26" s="143"/>
      <c r="S26" s="143"/>
      <c r="T26" s="143"/>
      <c r="U26" s="143">
        <v>138</v>
      </c>
      <c r="V26" s="143"/>
      <c r="W26" s="143"/>
      <c r="X26" s="143"/>
      <c r="Y26" s="143">
        <v>141</v>
      </c>
      <c r="Z26" s="143"/>
      <c r="AA26" s="143"/>
      <c r="AB26" s="143"/>
      <c r="AC26" s="143">
        <v>218</v>
      </c>
      <c r="AD26" s="143"/>
      <c r="AE26" s="143">
        <v>217</v>
      </c>
      <c r="AF26" s="143"/>
      <c r="AG26" s="143">
        <v>220</v>
      </c>
      <c r="AH26" s="143"/>
      <c r="AI26" s="144">
        <v>219</v>
      </c>
    </row>
    <row r="27" spans="1:35" ht="10.5" customHeight="1" thickBot="1" x14ac:dyDescent="0.3">
      <c r="A27" s="138" t="s">
        <v>188</v>
      </c>
      <c r="B27" s="139"/>
      <c r="C27" s="140">
        <v>212</v>
      </c>
      <c r="D27" s="140"/>
      <c r="E27" s="140">
        <v>214</v>
      </c>
      <c r="F27" s="140"/>
      <c r="G27" s="140">
        <v>213</v>
      </c>
      <c r="H27" s="140"/>
      <c r="I27" s="140"/>
      <c r="J27" s="140"/>
      <c r="K27" s="140"/>
      <c r="L27" s="140"/>
      <c r="M27" s="140"/>
      <c r="N27" s="140"/>
      <c r="O27" s="140">
        <v>192</v>
      </c>
      <c r="P27" s="140"/>
      <c r="Q27" s="140">
        <v>216</v>
      </c>
      <c r="R27" s="140"/>
      <c r="S27" s="140"/>
      <c r="T27" s="140"/>
      <c r="U27" s="140">
        <v>169</v>
      </c>
      <c r="V27" s="140"/>
      <c r="W27" s="140"/>
      <c r="X27" s="140"/>
      <c r="Y27" s="140">
        <v>171</v>
      </c>
      <c r="Z27" s="140"/>
      <c r="AA27" s="140"/>
      <c r="AB27" s="140"/>
      <c r="AC27" s="140">
        <v>218</v>
      </c>
      <c r="AD27" s="140"/>
      <c r="AE27" s="140">
        <v>217</v>
      </c>
      <c r="AF27" s="140"/>
      <c r="AG27" s="140">
        <v>220</v>
      </c>
      <c r="AH27" s="140"/>
      <c r="AI27" s="141">
        <v>219</v>
      </c>
    </row>
    <row r="28" spans="1:35" ht="10.5" customHeight="1" thickBot="1" x14ac:dyDescent="0.3">
      <c r="A28" s="138" t="s">
        <v>189</v>
      </c>
      <c r="B28" s="142"/>
      <c r="C28" s="143">
        <v>239</v>
      </c>
      <c r="D28" s="143"/>
      <c r="E28" s="143">
        <v>133</v>
      </c>
      <c r="F28" s="143"/>
      <c r="G28" s="143">
        <v>204</v>
      </c>
      <c r="H28" s="143"/>
      <c r="I28" s="143"/>
      <c r="J28" s="143"/>
      <c r="K28" s="143"/>
      <c r="L28" s="143"/>
      <c r="M28" s="143"/>
      <c r="N28" s="143"/>
      <c r="O28" s="143">
        <v>217</v>
      </c>
      <c r="P28" s="143"/>
      <c r="Q28" s="143">
        <v>219</v>
      </c>
      <c r="R28" s="143"/>
      <c r="S28" s="143"/>
      <c r="T28" s="143"/>
      <c r="U28" s="143">
        <v>225</v>
      </c>
      <c r="V28" s="143"/>
      <c r="W28" s="143"/>
      <c r="X28" s="143"/>
      <c r="Y28" s="143">
        <v>232</v>
      </c>
      <c r="Z28" s="143"/>
      <c r="AA28" s="143"/>
      <c r="AB28" s="143"/>
      <c r="AC28" s="143">
        <v>242</v>
      </c>
      <c r="AD28" s="143"/>
      <c r="AE28" s="143">
        <v>241</v>
      </c>
      <c r="AF28" s="143"/>
      <c r="AG28" s="143">
        <v>134</v>
      </c>
      <c r="AH28" s="143"/>
      <c r="AI28" s="144">
        <v>244</v>
      </c>
    </row>
    <row r="29" spans="1:35" ht="13.5" customHeight="1" thickBot="1" x14ac:dyDescent="0.3">
      <c r="A29" s="145"/>
      <c r="B29" s="146" t="s">
        <v>252</v>
      </c>
      <c r="C29" s="147"/>
      <c r="D29" s="147" t="s">
        <v>253</v>
      </c>
      <c r="E29" s="147"/>
      <c r="F29" s="147" t="s">
        <v>254</v>
      </c>
      <c r="G29" s="147"/>
      <c r="H29" s="147" t="s">
        <v>255</v>
      </c>
      <c r="I29" s="147"/>
      <c r="J29" s="147" t="s">
        <v>256</v>
      </c>
      <c r="K29" s="147"/>
      <c r="L29" s="147" t="s">
        <v>257</v>
      </c>
      <c r="M29" s="147"/>
      <c r="N29" s="147" t="s">
        <v>258</v>
      </c>
      <c r="O29" s="147"/>
      <c r="P29" s="147" t="s">
        <v>259</v>
      </c>
      <c r="Q29" s="147"/>
      <c r="R29" s="147" t="s">
        <v>260</v>
      </c>
      <c r="S29" s="147"/>
      <c r="T29" s="147" t="s">
        <v>261</v>
      </c>
      <c r="U29" s="147"/>
      <c r="V29" s="147" t="s">
        <v>262</v>
      </c>
      <c r="W29" s="147"/>
      <c r="X29" s="147" t="s">
        <v>263</v>
      </c>
      <c r="Y29" s="147"/>
      <c r="Z29" s="147" t="s">
        <v>264</v>
      </c>
      <c r="AA29" s="147"/>
      <c r="AB29" s="147" t="s">
        <v>265</v>
      </c>
      <c r="AC29" s="147"/>
      <c r="AD29" s="147" t="s">
        <v>266</v>
      </c>
      <c r="AE29" s="147"/>
      <c r="AF29" s="147" t="s">
        <v>267</v>
      </c>
      <c r="AG29" s="147"/>
      <c r="AH29" s="147" t="s">
        <v>268</v>
      </c>
      <c r="AI29" s="148"/>
    </row>
    <row r="30" spans="1:35" ht="12" customHeight="1" thickTop="1" thickBot="1" x14ac:dyDescent="0.3">
      <c r="A30" s="130"/>
      <c r="B30" s="131">
        <v>103</v>
      </c>
      <c r="C30" s="132">
        <v>104</v>
      </c>
      <c r="D30" s="132">
        <v>105</v>
      </c>
      <c r="E30" s="132">
        <v>106</v>
      </c>
      <c r="F30" s="132">
        <v>107</v>
      </c>
      <c r="G30" s="132">
        <v>108</v>
      </c>
      <c r="H30" s="132">
        <v>109</v>
      </c>
      <c r="I30" s="132">
        <v>110</v>
      </c>
      <c r="J30" s="132">
        <v>111</v>
      </c>
      <c r="K30" s="132">
        <v>112</v>
      </c>
      <c r="L30" s="132">
        <v>113</v>
      </c>
      <c r="M30" s="132">
        <v>114</v>
      </c>
      <c r="N30" s="132">
        <v>115</v>
      </c>
      <c r="O30" s="132">
        <v>116</v>
      </c>
      <c r="P30" s="132">
        <v>117</v>
      </c>
      <c r="Q30" s="132">
        <v>118</v>
      </c>
      <c r="R30" s="132">
        <v>119</v>
      </c>
      <c r="S30" s="132">
        <v>120</v>
      </c>
      <c r="T30" s="132">
        <v>121</v>
      </c>
      <c r="U30" s="132">
        <v>122</v>
      </c>
      <c r="V30" s="132">
        <v>123</v>
      </c>
      <c r="W30" s="132">
        <v>124</v>
      </c>
      <c r="X30" s="132">
        <v>125</v>
      </c>
      <c r="Y30" s="132">
        <v>126</v>
      </c>
      <c r="Z30" s="132">
        <v>127</v>
      </c>
      <c r="AA30" s="132">
        <v>128</v>
      </c>
      <c r="AB30" s="132">
        <v>129</v>
      </c>
      <c r="AC30" s="132">
        <v>130</v>
      </c>
      <c r="AD30" s="132">
        <v>131</v>
      </c>
      <c r="AE30" s="132">
        <v>132</v>
      </c>
      <c r="AF30" s="132">
        <v>133</v>
      </c>
      <c r="AG30" s="132">
        <v>134</v>
      </c>
      <c r="AH30" s="132">
        <v>135</v>
      </c>
      <c r="AI30" s="133">
        <v>136</v>
      </c>
    </row>
    <row r="31" spans="1:35" ht="14.25" customHeight="1" thickBot="1" x14ac:dyDescent="0.3">
      <c r="A31" s="134" t="s">
        <v>171</v>
      </c>
      <c r="B31" s="135"/>
      <c r="C31" s="136" t="s">
        <v>164</v>
      </c>
      <c r="D31" s="136"/>
      <c r="E31" s="136" t="s">
        <v>269</v>
      </c>
      <c r="F31" s="136"/>
      <c r="G31" s="136" t="s">
        <v>270</v>
      </c>
      <c r="H31" s="136"/>
      <c r="I31" s="136" t="s">
        <v>271</v>
      </c>
      <c r="J31" s="136"/>
      <c r="K31" s="136" t="s">
        <v>272</v>
      </c>
      <c r="L31" s="136"/>
      <c r="M31" s="136" t="s">
        <v>273</v>
      </c>
      <c r="N31" s="136"/>
      <c r="O31" s="136" t="s">
        <v>274</v>
      </c>
      <c r="P31" s="136"/>
      <c r="Q31" s="136" t="s">
        <v>190</v>
      </c>
      <c r="R31" s="136" t="s">
        <v>191</v>
      </c>
      <c r="S31" s="136" t="s">
        <v>192</v>
      </c>
      <c r="T31" s="136" t="s">
        <v>193</v>
      </c>
      <c r="U31" s="136" t="s">
        <v>194</v>
      </c>
      <c r="V31" s="136" t="s">
        <v>195</v>
      </c>
      <c r="W31" s="136" t="s">
        <v>196</v>
      </c>
      <c r="X31" s="136" t="s">
        <v>197</v>
      </c>
      <c r="Y31" s="136" t="s">
        <v>198</v>
      </c>
      <c r="Z31" s="136" t="s">
        <v>199</v>
      </c>
      <c r="AA31" s="136" t="s">
        <v>200</v>
      </c>
      <c r="AB31" s="136" t="s">
        <v>218</v>
      </c>
      <c r="AC31" s="136" t="s">
        <v>219</v>
      </c>
      <c r="AD31" s="136" t="s">
        <v>220</v>
      </c>
      <c r="AE31" s="136" t="s">
        <v>221</v>
      </c>
      <c r="AF31" s="136" t="s">
        <v>222</v>
      </c>
      <c r="AG31" s="136" t="s">
        <v>223</v>
      </c>
      <c r="AH31" s="136" t="s">
        <v>224</v>
      </c>
      <c r="AI31" s="137" t="s">
        <v>225</v>
      </c>
    </row>
    <row r="32" spans="1:35" ht="10.5" customHeight="1" thickBot="1" x14ac:dyDescent="0.3">
      <c r="A32" s="138" t="s">
        <v>184</v>
      </c>
      <c r="B32" s="139"/>
      <c r="C32" s="140">
        <v>86</v>
      </c>
      <c r="D32" s="140"/>
      <c r="E32" s="140">
        <v>87</v>
      </c>
      <c r="F32" s="140"/>
      <c r="G32" s="140">
        <v>88</v>
      </c>
      <c r="H32" s="140"/>
      <c r="I32" s="140">
        <v>89</v>
      </c>
      <c r="J32" s="140"/>
      <c r="K32" s="140"/>
      <c r="L32" s="140"/>
      <c r="M32" s="140">
        <v>90</v>
      </c>
      <c r="N32" s="140"/>
      <c r="O32" s="140"/>
      <c r="P32" s="140"/>
      <c r="Q32" s="140">
        <v>97</v>
      </c>
      <c r="R32" s="140"/>
      <c r="S32" s="140"/>
      <c r="T32" s="140">
        <v>98</v>
      </c>
      <c r="U32" s="140">
        <v>99</v>
      </c>
      <c r="V32" s="140"/>
      <c r="W32" s="140">
        <v>100</v>
      </c>
      <c r="X32" s="140"/>
      <c r="Y32" s="140"/>
      <c r="Z32" s="140"/>
      <c r="AA32" s="140">
        <v>101</v>
      </c>
      <c r="AB32" s="140"/>
      <c r="AC32" s="140"/>
      <c r="AD32" s="140">
        <v>102</v>
      </c>
      <c r="AE32" s="140">
        <v>103</v>
      </c>
      <c r="AF32" s="140">
        <v>104</v>
      </c>
      <c r="AG32" s="140"/>
      <c r="AH32" s="140">
        <v>105</v>
      </c>
      <c r="AI32" s="141"/>
    </row>
    <row r="33" spans="1:35" ht="10.5" customHeight="1" thickBot="1" x14ac:dyDescent="0.3">
      <c r="A33" s="138" t="s">
        <v>185</v>
      </c>
      <c r="B33" s="142"/>
      <c r="C33" s="143"/>
      <c r="D33" s="143"/>
      <c r="E33" s="143"/>
      <c r="F33" s="143"/>
      <c r="G33" s="143"/>
      <c r="H33" s="143"/>
      <c r="I33" s="143"/>
      <c r="J33" s="143"/>
      <c r="K33" s="143">
        <v>237</v>
      </c>
      <c r="L33" s="143"/>
      <c r="M33" s="143"/>
      <c r="N33" s="143"/>
      <c r="O33" s="143">
        <v>166</v>
      </c>
      <c r="P33" s="143"/>
      <c r="Q33" s="143"/>
      <c r="R33" s="143">
        <v>160</v>
      </c>
      <c r="S33" s="143">
        <v>132</v>
      </c>
      <c r="T33" s="143"/>
      <c r="U33" s="143"/>
      <c r="V33" s="143">
        <v>159</v>
      </c>
      <c r="W33" s="143"/>
      <c r="X33" s="143">
        <v>212</v>
      </c>
      <c r="Y33" s="143"/>
      <c r="Z33" s="143"/>
      <c r="AA33" s="143"/>
      <c r="AB33" s="143">
        <v>130</v>
      </c>
      <c r="AC33" s="143">
        <v>216</v>
      </c>
      <c r="AD33" s="143"/>
      <c r="AE33" s="143"/>
      <c r="AF33" s="143"/>
      <c r="AG33" s="143"/>
      <c r="AH33" s="143"/>
      <c r="AI33" s="144">
        <v>161</v>
      </c>
    </row>
    <row r="34" spans="1:35" ht="10.5" customHeight="1" thickBot="1" x14ac:dyDescent="0.3">
      <c r="A34" s="138" t="s">
        <v>186</v>
      </c>
      <c r="B34" s="139"/>
      <c r="C34" s="140"/>
      <c r="D34" s="140"/>
      <c r="E34" s="140"/>
      <c r="F34" s="140"/>
      <c r="G34" s="140"/>
      <c r="H34" s="140"/>
      <c r="I34" s="140"/>
      <c r="J34" s="140"/>
      <c r="K34" s="140">
        <v>157</v>
      </c>
      <c r="L34" s="140"/>
      <c r="M34" s="140"/>
      <c r="N34" s="140"/>
      <c r="O34" s="140">
        <v>146</v>
      </c>
      <c r="P34" s="140"/>
      <c r="Q34" s="140"/>
      <c r="R34" s="140">
        <v>160</v>
      </c>
      <c r="S34" s="140">
        <v>132</v>
      </c>
      <c r="T34" s="140"/>
      <c r="U34" s="140"/>
      <c r="V34" s="140">
        <v>135</v>
      </c>
      <c r="W34" s="140"/>
      <c r="X34" s="140">
        <v>131</v>
      </c>
      <c r="Y34" s="140"/>
      <c r="Z34" s="140"/>
      <c r="AA34" s="140"/>
      <c r="AB34" s="140">
        <v>130</v>
      </c>
      <c r="AC34" s="140">
        <v>136</v>
      </c>
      <c r="AD34" s="140"/>
      <c r="AE34" s="140"/>
      <c r="AF34" s="140"/>
      <c r="AG34" s="140"/>
      <c r="AH34" s="140"/>
      <c r="AI34" s="141">
        <v>161</v>
      </c>
    </row>
    <row r="35" spans="1:35" ht="10.5" customHeight="1" thickBot="1" x14ac:dyDescent="0.3">
      <c r="A35" s="138" t="s">
        <v>187</v>
      </c>
      <c r="B35" s="142"/>
      <c r="C35" s="143"/>
      <c r="D35" s="143"/>
      <c r="E35" s="143"/>
      <c r="F35" s="143"/>
      <c r="G35" s="143"/>
      <c r="H35" s="143"/>
      <c r="I35" s="143"/>
      <c r="J35" s="143"/>
      <c r="K35" s="143">
        <v>221</v>
      </c>
      <c r="L35" s="143"/>
      <c r="M35" s="143"/>
      <c r="N35" s="143"/>
      <c r="O35" s="143">
        <v>142</v>
      </c>
      <c r="P35" s="143"/>
      <c r="Q35" s="143"/>
      <c r="R35" s="143">
        <v>225</v>
      </c>
      <c r="S35" s="143">
        <v>228</v>
      </c>
      <c r="T35" s="143"/>
      <c r="U35" s="143"/>
      <c r="V35" s="143">
        <v>232</v>
      </c>
      <c r="W35" s="143"/>
      <c r="X35" s="143">
        <v>239</v>
      </c>
      <c r="Y35" s="143"/>
      <c r="Z35" s="143"/>
      <c r="AA35" s="143"/>
      <c r="AB35" s="143">
        <v>233</v>
      </c>
      <c r="AC35" s="143">
        <v>236</v>
      </c>
      <c r="AD35" s="143"/>
      <c r="AE35" s="143"/>
      <c r="AF35" s="143"/>
      <c r="AG35" s="143"/>
      <c r="AH35" s="143"/>
      <c r="AI35" s="144">
        <v>237</v>
      </c>
    </row>
    <row r="36" spans="1:35" ht="10.5" customHeight="1" thickBot="1" x14ac:dyDescent="0.3">
      <c r="A36" s="138" t="s">
        <v>188</v>
      </c>
      <c r="B36" s="139"/>
      <c r="C36" s="140"/>
      <c r="D36" s="140"/>
      <c r="E36" s="140"/>
      <c r="F36" s="140"/>
      <c r="G36" s="140"/>
      <c r="H36" s="140"/>
      <c r="I36" s="140"/>
      <c r="J36" s="140"/>
      <c r="K36" s="140">
        <v>221</v>
      </c>
      <c r="L36" s="140"/>
      <c r="M36" s="140"/>
      <c r="N36" s="140"/>
      <c r="O36" s="140">
        <v>174</v>
      </c>
      <c r="P36" s="140"/>
      <c r="Q36" s="140"/>
      <c r="R36" s="140">
        <v>225</v>
      </c>
      <c r="S36" s="140">
        <v>228</v>
      </c>
      <c r="T36" s="140"/>
      <c r="U36" s="140"/>
      <c r="V36" s="140">
        <v>232</v>
      </c>
      <c r="W36" s="140"/>
      <c r="X36" s="140">
        <v>239</v>
      </c>
      <c r="Y36" s="140"/>
      <c r="Z36" s="140"/>
      <c r="AA36" s="140"/>
      <c r="AB36" s="140">
        <v>233</v>
      </c>
      <c r="AC36" s="140">
        <v>236</v>
      </c>
      <c r="AD36" s="140"/>
      <c r="AE36" s="140"/>
      <c r="AF36" s="140"/>
      <c r="AG36" s="140"/>
      <c r="AH36" s="140"/>
      <c r="AI36" s="141">
        <v>237</v>
      </c>
    </row>
    <row r="37" spans="1:35" ht="10.5" customHeight="1" thickBot="1" x14ac:dyDescent="0.3">
      <c r="A37" s="138" t="s">
        <v>189</v>
      </c>
      <c r="B37" s="142"/>
      <c r="C37" s="143"/>
      <c r="D37" s="143"/>
      <c r="E37" s="143"/>
      <c r="F37" s="143"/>
      <c r="G37" s="143"/>
      <c r="H37" s="143"/>
      <c r="I37" s="143"/>
      <c r="J37" s="143"/>
      <c r="K37" s="143">
        <v>248</v>
      </c>
      <c r="L37" s="143"/>
      <c r="M37" s="143"/>
      <c r="N37" s="143"/>
      <c r="O37" s="143">
        <v>235</v>
      </c>
      <c r="P37" s="143"/>
      <c r="Q37" s="143"/>
      <c r="R37" s="143">
        <v>135</v>
      </c>
      <c r="S37" s="143">
        <v>138</v>
      </c>
      <c r="T37" s="143"/>
      <c r="U37" s="143"/>
      <c r="V37" s="143">
        <v>139</v>
      </c>
      <c r="W37" s="143"/>
      <c r="X37" s="143">
        <v>147</v>
      </c>
      <c r="Y37" s="143"/>
      <c r="Z37" s="143"/>
      <c r="AA37" s="143"/>
      <c r="AB37" s="143">
        <v>142</v>
      </c>
      <c r="AC37" s="143">
        <v>158</v>
      </c>
      <c r="AD37" s="143"/>
      <c r="AE37" s="143"/>
      <c r="AF37" s="143"/>
      <c r="AG37" s="143"/>
      <c r="AH37" s="143"/>
      <c r="AI37" s="144">
        <v>146</v>
      </c>
    </row>
    <row r="38" spans="1:35" ht="13.5" customHeight="1" thickBot="1" x14ac:dyDescent="0.3">
      <c r="A38" s="145"/>
      <c r="B38" s="146" t="s">
        <v>275</v>
      </c>
      <c r="C38" s="147"/>
      <c r="D38" s="147" t="s">
        <v>276</v>
      </c>
      <c r="E38" s="147"/>
      <c r="F38" s="147" t="s">
        <v>277</v>
      </c>
      <c r="G38" s="147"/>
      <c r="H38" s="147" t="s">
        <v>278</v>
      </c>
      <c r="I38" s="147"/>
      <c r="J38" s="147" t="s">
        <v>279</v>
      </c>
      <c r="K38" s="147"/>
      <c r="L38" s="147" t="s">
        <v>280</v>
      </c>
      <c r="M38" s="147"/>
      <c r="N38" s="147" t="s">
        <v>281</v>
      </c>
      <c r="O38" s="147"/>
      <c r="P38" s="147" t="s">
        <v>282</v>
      </c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8"/>
    </row>
    <row r="39" spans="1:35" ht="12" customHeight="1" thickTop="1" thickBot="1" x14ac:dyDescent="0.3">
      <c r="A39" s="130"/>
      <c r="B39" s="131">
        <v>137</v>
      </c>
      <c r="C39" s="132">
        <v>138</v>
      </c>
      <c r="D39" s="132">
        <v>139</v>
      </c>
      <c r="E39" s="132">
        <v>140</v>
      </c>
      <c r="F39" s="132">
        <v>141</v>
      </c>
      <c r="G39" s="132">
        <v>142</v>
      </c>
      <c r="H39" s="132">
        <v>143</v>
      </c>
      <c r="I39" s="132">
        <v>144</v>
      </c>
      <c r="J39" s="132">
        <v>145</v>
      </c>
      <c r="K39" s="132">
        <v>146</v>
      </c>
      <c r="L39" s="132">
        <v>147</v>
      </c>
      <c r="M39" s="132">
        <v>148</v>
      </c>
      <c r="N39" s="132">
        <v>149</v>
      </c>
      <c r="O39" s="132">
        <v>150</v>
      </c>
      <c r="P39" s="132">
        <v>151</v>
      </c>
      <c r="Q39" s="132">
        <v>152</v>
      </c>
      <c r="R39" s="132">
        <v>153</v>
      </c>
      <c r="S39" s="132">
        <v>154</v>
      </c>
      <c r="T39" s="132">
        <v>155</v>
      </c>
      <c r="U39" s="132">
        <v>156</v>
      </c>
      <c r="V39" s="132">
        <v>157</v>
      </c>
      <c r="W39" s="132">
        <v>158</v>
      </c>
      <c r="X39" s="132">
        <v>159</v>
      </c>
      <c r="Y39" s="132">
        <v>160</v>
      </c>
      <c r="Z39" s="132">
        <v>161</v>
      </c>
      <c r="AA39" s="132">
        <v>162</v>
      </c>
      <c r="AB39" s="132">
        <v>163</v>
      </c>
      <c r="AC39" s="132">
        <v>164</v>
      </c>
      <c r="AD39" s="132">
        <v>165</v>
      </c>
      <c r="AE39" s="132">
        <v>166</v>
      </c>
      <c r="AF39" s="132">
        <v>167</v>
      </c>
      <c r="AG39" s="132">
        <v>168</v>
      </c>
      <c r="AH39" s="132">
        <v>169</v>
      </c>
      <c r="AI39" s="133">
        <v>170</v>
      </c>
    </row>
    <row r="40" spans="1:35" ht="14.25" customHeight="1" thickBot="1" x14ac:dyDescent="0.3">
      <c r="A40" s="134" t="s">
        <v>171</v>
      </c>
      <c r="B40" s="135" t="s">
        <v>226</v>
      </c>
      <c r="C40" s="136" t="s">
        <v>227</v>
      </c>
      <c r="D40" s="136" t="s">
        <v>228</v>
      </c>
      <c r="E40" s="136" t="s">
        <v>229</v>
      </c>
      <c r="F40" s="136" t="s">
        <v>230</v>
      </c>
      <c r="G40" s="136" t="s">
        <v>231</v>
      </c>
      <c r="H40" s="136" t="s">
        <v>232</v>
      </c>
      <c r="I40" s="136" t="s">
        <v>233</v>
      </c>
      <c r="J40" s="136" t="s">
        <v>234</v>
      </c>
      <c r="K40" s="136" t="s">
        <v>252</v>
      </c>
      <c r="L40" s="136" t="s">
        <v>253</v>
      </c>
      <c r="M40" s="136" t="s">
        <v>254</v>
      </c>
      <c r="N40" s="136" t="s">
        <v>255</v>
      </c>
      <c r="O40" s="136" t="s">
        <v>256</v>
      </c>
      <c r="P40" s="136" t="s">
        <v>257</v>
      </c>
      <c r="Q40" s="136" t="s">
        <v>258</v>
      </c>
      <c r="R40" s="136" t="s">
        <v>259</v>
      </c>
      <c r="S40" s="136" t="s">
        <v>260</v>
      </c>
      <c r="T40" s="136" t="s">
        <v>261</v>
      </c>
      <c r="U40" s="136" t="s">
        <v>262</v>
      </c>
      <c r="V40" s="136" t="s">
        <v>263</v>
      </c>
      <c r="W40" s="136" t="s">
        <v>264</v>
      </c>
      <c r="X40" s="136" t="s">
        <v>265</v>
      </c>
      <c r="Y40" s="136" t="s">
        <v>266</v>
      </c>
      <c r="Z40" s="136" t="s">
        <v>267</v>
      </c>
      <c r="AA40" s="136" t="s">
        <v>268</v>
      </c>
      <c r="AB40" s="136" t="s">
        <v>275</v>
      </c>
      <c r="AC40" s="136" t="s">
        <v>276</v>
      </c>
      <c r="AD40" s="136" t="s">
        <v>277</v>
      </c>
      <c r="AE40" s="136" t="s">
        <v>278</v>
      </c>
      <c r="AF40" s="136" t="s">
        <v>279</v>
      </c>
      <c r="AG40" s="136" t="s">
        <v>280</v>
      </c>
      <c r="AH40" s="136" t="s">
        <v>281</v>
      </c>
      <c r="AI40" s="137" t="s">
        <v>282</v>
      </c>
    </row>
    <row r="41" spans="1:35" ht="10.5" customHeight="1" thickBot="1" x14ac:dyDescent="0.3">
      <c r="A41" s="138" t="s">
        <v>184</v>
      </c>
      <c r="B41" s="139">
        <v>106</v>
      </c>
      <c r="C41" s="140">
        <v>107</v>
      </c>
      <c r="D41" s="140">
        <v>108</v>
      </c>
      <c r="E41" s="140"/>
      <c r="F41" s="140"/>
      <c r="G41" s="140">
        <v>109</v>
      </c>
      <c r="H41" s="140">
        <v>110</v>
      </c>
      <c r="I41" s="140"/>
      <c r="J41" s="140">
        <v>111</v>
      </c>
      <c r="K41" s="140"/>
      <c r="L41" s="140"/>
      <c r="M41" s="140"/>
      <c r="N41" s="140"/>
      <c r="O41" s="140">
        <v>112</v>
      </c>
      <c r="P41" s="140">
        <v>113</v>
      </c>
      <c r="Q41" s="140">
        <v>114</v>
      </c>
      <c r="R41" s="140"/>
      <c r="S41" s="140"/>
      <c r="T41" s="140">
        <v>115</v>
      </c>
      <c r="U41" s="140"/>
      <c r="V41" s="140">
        <v>116</v>
      </c>
      <c r="W41" s="140"/>
      <c r="X41" s="140">
        <v>117</v>
      </c>
      <c r="Y41" s="140"/>
      <c r="Z41" s="140"/>
      <c r="AA41" s="140"/>
      <c r="AB41" s="140"/>
      <c r="AC41" s="140">
        <v>118</v>
      </c>
      <c r="AD41" s="140">
        <v>119</v>
      </c>
      <c r="AE41" s="140">
        <v>120</v>
      </c>
      <c r="AF41" s="140">
        <v>121</v>
      </c>
      <c r="AG41" s="140"/>
      <c r="AH41" s="140">
        <v>122</v>
      </c>
      <c r="AI41" s="141"/>
    </row>
    <row r="42" spans="1:35" ht="10.5" customHeight="1" thickBot="1" x14ac:dyDescent="0.3">
      <c r="A42" s="138" t="s">
        <v>185</v>
      </c>
      <c r="B42" s="142"/>
      <c r="C42" s="143"/>
      <c r="D42" s="143"/>
      <c r="E42" s="143">
        <v>146</v>
      </c>
      <c r="F42" s="143">
        <v>150</v>
      </c>
      <c r="G42" s="143"/>
      <c r="H42" s="143"/>
      <c r="I42" s="143">
        <v>229</v>
      </c>
      <c r="J42" s="143"/>
      <c r="K42" s="143">
        <v>162</v>
      </c>
      <c r="L42" s="143">
        <v>147</v>
      </c>
      <c r="M42" s="143">
        <v>148</v>
      </c>
      <c r="N42" s="143">
        <v>139</v>
      </c>
      <c r="O42" s="143"/>
      <c r="P42" s="143"/>
      <c r="Q42" s="143"/>
      <c r="R42" s="143">
        <v>234</v>
      </c>
      <c r="S42" s="143">
        <v>253</v>
      </c>
      <c r="T42" s="143"/>
      <c r="U42" s="143">
        <v>231</v>
      </c>
      <c r="V42" s="143"/>
      <c r="W42" s="143">
        <v>156</v>
      </c>
      <c r="X42" s="143"/>
      <c r="Y42" s="143">
        <v>163</v>
      </c>
      <c r="Z42" s="143">
        <v>133</v>
      </c>
      <c r="AA42" s="143">
        <v>129</v>
      </c>
      <c r="AB42" s="143">
        <v>251</v>
      </c>
      <c r="AC42" s="143"/>
      <c r="AD42" s="143"/>
      <c r="AE42" s="143"/>
      <c r="AF42" s="143"/>
      <c r="AG42" s="143">
        <v>236</v>
      </c>
      <c r="AH42" s="143"/>
      <c r="AI42" s="144">
        <v>167</v>
      </c>
    </row>
    <row r="43" spans="1:35" ht="10.5" customHeight="1" thickBot="1" x14ac:dyDescent="0.3">
      <c r="A43" s="138" t="s">
        <v>186</v>
      </c>
      <c r="B43" s="139"/>
      <c r="C43" s="140"/>
      <c r="D43" s="140"/>
      <c r="E43" s="140">
        <v>141</v>
      </c>
      <c r="F43" s="140">
        <v>140</v>
      </c>
      <c r="G43" s="140"/>
      <c r="H43" s="140"/>
      <c r="I43" s="140">
        <v>164</v>
      </c>
      <c r="J43" s="140"/>
      <c r="K43" s="140">
        <v>162</v>
      </c>
      <c r="L43" s="140">
        <v>147</v>
      </c>
      <c r="M43" s="140">
        <v>148</v>
      </c>
      <c r="N43" s="140" t="s">
        <v>283</v>
      </c>
      <c r="O43" s="140"/>
      <c r="P43" s="140"/>
      <c r="Q43" s="140"/>
      <c r="R43" s="140">
        <v>170</v>
      </c>
      <c r="S43" s="140">
        <v>169</v>
      </c>
      <c r="T43" s="140"/>
      <c r="U43" s="140">
        <v>168</v>
      </c>
      <c r="V43" s="140"/>
      <c r="W43" s="140">
        <v>159</v>
      </c>
      <c r="X43" s="140"/>
      <c r="Y43" s="140">
        <v>163</v>
      </c>
      <c r="Z43" s="140">
        <v>150</v>
      </c>
      <c r="AA43" s="140">
        <v>129</v>
      </c>
      <c r="AB43" s="140"/>
      <c r="AC43" s="140"/>
      <c r="AD43" s="140"/>
      <c r="AE43" s="140"/>
      <c r="AF43" s="140"/>
      <c r="AG43" s="140">
        <v>152</v>
      </c>
      <c r="AH43" s="140"/>
      <c r="AI43" s="141">
        <v>145</v>
      </c>
    </row>
    <row r="44" spans="1:35" ht="10.5" customHeight="1" thickBot="1" x14ac:dyDescent="0.3">
      <c r="A44" s="138" t="s">
        <v>187</v>
      </c>
      <c r="B44" s="142"/>
      <c r="C44" s="143"/>
      <c r="D44" s="143"/>
      <c r="E44" s="143">
        <v>229</v>
      </c>
      <c r="F44" s="143">
        <v>190</v>
      </c>
      <c r="G44" s="143"/>
      <c r="H44" s="143"/>
      <c r="I44" s="143">
        <v>242</v>
      </c>
      <c r="J44" s="143"/>
      <c r="K44" s="143">
        <v>243</v>
      </c>
      <c r="L44" s="143">
        <v>244</v>
      </c>
      <c r="M44" s="143">
        <v>246</v>
      </c>
      <c r="N44" s="143">
        <v>245</v>
      </c>
      <c r="O44" s="143"/>
      <c r="P44" s="143"/>
      <c r="Q44" s="143"/>
      <c r="R44" s="143">
        <v>224</v>
      </c>
      <c r="S44" s="143">
        <v>248</v>
      </c>
      <c r="T44" s="143"/>
      <c r="U44" s="143">
        <v>154</v>
      </c>
      <c r="V44" s="143"/>
      <c r="W44" s="143">
        <v>157</v>
      </c>
      <c r="X44" s="143"/>
      <c r="Y44" s="143">
        <v>250</v>
      </c>
      <c r="Z44" s="143">
        <v>249</v>
      </c>
      <c r="AA44" s="143">
        <v>252</v>
      </c>
      <c r="AB44" s="143">
        <v>251</v>
      </c>
      <c r="AC44" s="143"/>
      <c r="AD44" s="143"/>
      <c r="AE44" s="143"/>
      <c r="AF44" s="143"/>
      <c r="AG44" s="143">
        <v>253</v>
      </c>
      <c r="AH44" s="143"/>
      <c r="AI44" s="144">
        <v>158</v>
      </c>
    </row>
    <row r="45" spans="1:35" ht="10.5" customHeight="1" thickBot="1" x14ac:dyDescent="0.3">
      <c r="A45" s="138" t="s">
        <v>188</v>
      </c>
      <c r="B45" s="139"/>
      <c r="C45" s="140"/>
      <c r="D45" s="140"/>
      <c r="E45" s="140">
        <v>229</v>
      </c>
      <c r="F45" s="140">
        <v>181</v>
      </c>
      <c r="G45" s="140"/>
      <c r="H45" s="140"/>
      <c r="I45" s="140">
        <v>242</v>
      </c>
      <c r="J45" s="140"/>
      <c r="K45" s="140">
        <v>243</v>
      </c>
      <c r="L45" s="140">
        <v>244</v>
      </c>
      <c r="M45" s="140">
        <v>246</v>
      </c>
      <c r="N45" s="140">
        <v>245</v>
      </c>
      <c r="O45" s="140"/>
      <c r="P45" s="140"/>
      <c r="Q45" s="140"/>
      <c r="R45" s="140">
        <v>224</v>
      </c>
      <c r="S45" s="140">
        <v>248</v>
      </c>
      <c r="T45" s="140"/>
      <c r="U45" s="140">
        <v>185</v>
      </c>
      <c r="V45" s="140"/>
      <c r="W45" s="140">
        <v>187</v>
      </c>
      <c r="X45" s="140"/>
      <c r="Y45" s="140">
        <v>250</v>
      </c>
      <c r="Z45" s="140">
        <v>249</v>
      </c>
      <c r="AA45" s="140">
        <v>252</v>
      </c>
      <c r="AB45" s="140">
        <v>251</v>
      </c>
      <c r="AC45" s="140"/>
      <c r="AD45" s="140"/>
      <c r="AE45" s="140"/>
      <c r="AF45" s="140"/>
      <c r="AG45" s="140">
        <v>253</v>
      </c>
      <c r="AH45" s="140"/>
      <c r="AI45" s="141">
        <v>190</v>
      </c>
    </row>
    <row r="46" spans="1:35" ht="10.5" customHeight="1" thickBot="1" x14ac:dyDescent="0.3">
      <c r="A46" s="138" t="s">
        <v>189</v>
      </c>
      <c r="B46" s="142"/>
      <c r="C46" s="143"/>
      <c r="D46" s="143"/>
      <c r="E46" s="143">
        <v>190</v>
      </c>
      <c r="F46" s="143">
        <v>188</v>
      </c>
      <c r="G46" s="143"/>
      <c r="H46" s="143"/>
      <c r="I46" s="143">
        <v>203</v>
      </c>
      <c r="J46" s="143"/>
      <c r="K46" s="143">
        <v>151</v>
      </c>
      <c r="L46" s="143">
        <v>153</v>
      </c>
      <c r="M46" s="143">
        <v>154</v>
      </c>
      <c r="N46" s="143">
        <v>155</v>
      </c>
      <c r="O46" s="143"/>
      <c r="P46" s="143"/>
      <c r="Q46" s="143"/>
      <c r="R46" s="143">
        <v>218</v>
      </c>
      <c r="S46" s="143">
        <v>222</v>
      </c>
      <c r="T46" s="143"/>
      <c r="U46" s="143">
        <v>228</v>
      </c>
      <c r="V46" s="143"/>
      <c r="W46" s="143">
        <v>233</v>
      </c>
      <c r="X46" s="143"/>
      <c r="Y46" s="143">
        <v>156</v>
      </c>
      <c r="Z46" s="143">
        <v>243</v>
      </c>
      <c r="AA46" s="143">
        <v>159</v>
      </c>
      <c r="AB46" s="143">
        <v>245</v>
      </c>
      <c r="AC46" s="143"/>
      <c r="AD46" s="143"/>
      <c r="AE46" s="143"/>
      <c r="AF46" s="143"/>
      <c r="AG46" s="143">
        <v>249</v>
      </c>
      <c r="AH46" s="143"/>
      <c r="AI46" s="144">
        <v>236</v>
      </c>
    </row>
    <row r="47" spans="1:35" ht="13.5" customHeight="1" thickBot="1" x14ac:dyDescent="0.3">
      <c r="A47" s="150"/>
      <c r="B47" s="146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8"/>
    </row>
    <row r="48" spans="1:35" ht="15.75" thickTop="1" x14ac:dyDescent="0.25"/>
  </sheetData>
  <mergeCells count="1">
    <mergeCell ref="A1:AI1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Hárky</vt:lpstr>
      </vt:variant>
      <vt:variant>
        <vt:i4>2</vt:i4>
      </vt:variant>
      <vt:variant>
        <vt:lpstr>Pomenované rozsahy</vt:lpstr>
      </vt:variant>
      <vt:variant>
        <vt:i4>45</vt:i4>
      </vt:variant>
    </vt:vector>
  </HeadingPairs>
  <TitlesOfParts>
    <vt:vector size="47" baseType="lpstr">
      <vt:lpstr>Selection</vt:lpstr>
      <vt:lpstr>Model</vt:lpstr>
      <vt:lpstr>s_en!_C_Cell</vt:lpstr>
      <vt:lpstr>s_sk!_C_Cell</vt:lpstr>
      <vt:lpstr>_C_Cell</vt:lpstr>
      <vt:lpstr>s_en!_C_Cell_C</vt:lpstr>
      <vt:lpstr>s_sk!_C_Cell_C</vt:lpstr>
      <vt:lpstr>_C_Cell_C</vt:lpstr>
      <vt:lpstr>s_en!_C_Cell_R</vt:lpstr>
      <vt:lpstr>s_sk!_C_Cell_R</vt:lpstr>
      <vt:lpstr>_C_Cell_R</vt:lpstr>
      <vt:lpstr>s_en!_C_Sheet</vt:lpstr>
      <vt:lpstr>s_sk!_C_Sheet</vt:lpstr>
      <vt:lpstr>_C_Sheet</vt:lpstr>
      <vt:lpstr>s_en!_C_Workbook</vt:lpstr>
      <vt:lpstr>s_sk!_C_Workbook</vt:lpstr>
      <vt:lpstr>_C_Workbook</vt:lpstr>
      <vt:lpstr>_H</vt:lpstr>
      <vt:lpstr>_Help</vt:lpstr>
      <vt:lpstr>s_en!_R_Cell_A</vt:lpstr>
      <vt:lpstr>s_sk!_R_Cell_A</vt:lpstr>
      <vt:lpstr>_R_Cell_A</vt:lpstr>
      <vt:lpstr>s_en!_R_Cell_A_C</vt:lpstr>
      <vt:lpstr>s_sk!_R_Cell_A_C</vt:lpstr>
      <vt:lpstr>_R_Cell_A_C</vt:lpstr>
      <vt:lpstr>s_en!_R_Cell_A_R</vt:lpstr>
      <vt:lpstr>s_sk!_R_Cell_A_R</vt:lpstr>
      <vt:lpstr>_R_Cell_A_R</vt:lpstr>
      <vt:lpstr>s_en!_R_Cell_B</vt:lpstr>
      <vt:lpstr>s_sk!_R_Cell_B</vt:lpstr>
      <vt:lpstr>_R_Cell_B</vt:lpstr>
      <vt:lpstr>s_en!_R_Cell_B_C</vt:lpstr>
      <vt:lpstr>s_sk!_R_Cell_B_C</vt:lpstr>
      <vt:lpstr>_R_Cell_B_C</vt:lpstr>
      <vt:lpstr>s_en!_R_Cell_B_R</vt:lpstr>
      <vt:lpstr>s_sk!_R_Cell_B_R</vt:lpstr>
      <vt:lpstr>_R_Cell_B_R</vt:lpstr>
      <vt:lpstr>s_en!_R_Sheet</vt:lpstr>
      <vt:lpstr>s_sk!_R_Sheet</vt:lpstr>
      <vt:lpstr>_R_Sheet</vt:lpstr>
      <vt:lpstr>s_en!_R_Workbook</vt:lpstr>
      <vt:lpstr>s_sk!_R_Workbook</vt:lpstr>
      <vt:lpstr>_R_Workbook</vt:lpstr>
      <vt:lpstr>s_en!_Version</vt:lpstr>
      <vt:lpstr>s_sk!_Version</vt:lpstr>
      <vt:lpstr>_Version</vt:lpstr>
      <vt:lpstr>_Www</vt:lpstr>
    </vt:vector>
  </TitlesOfParts>
  <Company>The Matrix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Matrixman</dc:creator>
  <cp:lastModifiedBy>Matrixman</cp:lastModifiedBy>
  <cp:lastPrinted>2014-01-05T21:04:14Z</cp:lastPrinted>
  <dcterms:created xsi:type="dcterms:W3CDTF">2013-12-01T18:25:16Z</dcterms:created>
  <dcterms:modified xsi:type="dcterms:W3CDTF">2017-10-16T15:41:19Z</dcterms:modified>
</cp:coreProperties>
</file>